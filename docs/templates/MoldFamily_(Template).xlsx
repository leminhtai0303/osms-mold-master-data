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\osms-mold-master-data\docs\templates\"/>
    </mc:Choice>
  </mc:AlternateContent>
  <xr:revisionPtr revIDLastSave="0" documentId="13_ncr:1_{BC6A9D7F-6BBB-4431-B25C-4EF9CC68B3FF}" xr6:coauthVersionLast="47" xr6:coauthVersionMax="47" xr10:uidLastSave="{00000000-0000-0000-0000-000000000000}"/>
  <bookViews>
    <workbookView xWindow="-120" yWindow="-120" windowWidth="29040" windowHeight="15720" xr2:uid="{5E6E3C81-1EA0-4408-83C9-00BACB8D24B7}"/>
  </bookViews>
  <sheets>
    <sheet name="Summary" sheetId="1" r:id="rId1"/>
    <sheet name="{Component}" sheetId="9" r:id="rId2"/>
    <sheet name="_Master_Ref" sheetId="2" state="hidden" r:id="rId3"/>
  </sheets>
  <definedNames>
    <definedName name="ExternalData_1" localSheetId="2" hidden="1">_Master_Ref!$A$1:$C$8</definedName>
    <definedName name="ExternalData_2" localSheetId="2" hidden="1">_Master_Ref!$E$1:$E$5</definedName>
    <definedName name="ExternalData_3" localSheetId="2" hidden="1">_Master_Ref!$G$1:$G$4</definedName>
    <definedName name="ExternalData_4" localSheetId="2" hidden="1">_Master_Ref!$I$1:$Q$75</definedName>
    <definedName name="ExternalData_5" localSheetId="2" hidden="1">_Master_Ref!$S$1:$W$34</definedName>
    <definedName name="FactoryList">_dimFactory[Factory Name]</definedName>
    <definedName name="MoldComponentList">_dimMoldHierarchies[Component Code]</definedName>
    <definedName name="MoldCondition">_dimMoldCondition[Mold Condition]</definedName>
    <definedName name="MoldOwnership">_dimMoldOwnership[Mold Owner Ship]</definedName>
    <definedName name="VendorList" xml:space="preserve"> _dimVendor[Vendor Short 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" i="9" l="1"/>
  <c r="M11" i="9"/>
  <c r="L12" i="9"/>
  <c r="M12" i="9"/>
  <c r="L13" i="9"/>
  <c r="M13" i="9"/>
  <c r="L14" i="9"/>
  <c r="M14" i="9"/>
  <c r="L15" i="9"/>
  <c r="M15" i="9"/>
  <c r="L16" i="9"/>
  <c r="M16" i="9"/>
  <c r="L17" i="9"/>
  <c r="M17" i="9"/>
  <c r="L18" i="9"/>
  <c r="M18" i="9"/>
  <c r="L19" i="9"/>
  <c r="M19" i="9"/>
  <c r="L20" i="9"/>
  <c r="M20" i="9"/>
  <c r="L21" i="9"/>
  <c r="M21" i="9"/>
  <c r="L22" i="9"/>
  <c r="M22" i="9"/>
  <c r="L23" i="9"/>
  <c r="M23" i="9"/>
  <c r="L24" i="9"/>
  <c r="M24" i="9"/>
  <c r="L25" i="9"/>
  <c r="M25" i="9"/>
  <c r="L26" i="9"/>
  <c r="M26" i="9"/>
  <c r="L27" i="9"/>
  <c r="M27" i="9"/>
  <c r="L28" i="9"/>
  <c r="M28" i="9"/>
  <c r="L29" i="9"/>
  <c r="M29" i="9"/>
  <c r="L30" i="9"/>
  <c r="M30" i="9"/>
  <c r="L31" i="9"/>
  <c r="M31" i="9"/>
  <c r="L32" i="9"/>
  <c r="M32" i="9"/>
  <c r="L33" i="9"/>
  <c r="M33" i="9"/>
  <c r="L34" i="9"/>
  <c r="M34" i="9"/>
  <c r="L35" i="9"/>
  <c r="M35" i="9"/>
  <c r="L36" i="9"/>
  <c r="M36" i="9"/>
  <c r="L37" i="9"/>
  <c r="M37" i="9"/>
  <c r="L38" i="9"/>
  <c r="M38" i="9"/>
  <c r="L39" i="9"/>
  <c r="M39" i="9"/>
  <c r="L40" i="9"/>
  <c r="M40" i="9"/>
  <c r="L41" i="9"/>
  <c r="M41" i="9"/>
  <c r="L42" i="9"/>
  <c r="M42" i="9"/>
  <c r="L43" i="9"/>
  <c r="M43" i="9"/>
  <c r="M10" i="9"/>
  <c r="L10" i="9"/>
  <c r="M9" i="9"/>
  <c r="L9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O30" i="1"/>
  <c r="G11" i="1" a="1"/>
  <c r="G11" i="1" s="1"/>
  <c r="F11" i="1" s="1"/>
  <c r="G13" i="1" a="1"/>
  <c r="G13" i="1" s="1"/>
  <c r="F13" i="1" s="1"/>
  <c r="G14" i="1" a="1"/>
  <c r="G14" i="1" s="1"/>
  <c r="F14" i="1" s="1"/>
  <c r="G15" i="1" a="1"/>
  <c r="G15" i="1" s="1"/>
  <c r="F15" i="1" s="1"/>
  <c r="G16" i="1" a="1"/>
  <c r="G16" i="1" s="1"/>
  <c r="F16" i="1" s="1"/>
  <c r="G17" i="1" a="1"/>
  <c r="G17" i="1" s="1"/>
  <c r="F17" i="1" s="1"/>
  <c r="G18" i="1" a="1"/>
  <c r="G18" i="1" s="1"/>
  <c r="F18" i="1" s="1"/>
  <c r="G19" i="1" a="1"/>
  <c r="G19" i="1" s="1"/>
  <c r="F19" i="1" s="1"/>
  <c r="G20" i="1" a="1"/>
  <c r="G20" i="1" s="1"/>
  <c r="F20" i="1" s="1"/>
  <c r="G21" i="1" a="1"/>
  <c r="G21" i="1" s="1"/>
  <c r="F21" i="1" s="1"/>
  <c r="G22" i="1" a="1"/>
  <c r="G22" i="1" s="1"/>
  <c r="F22" i="1" s="1"/>
  <c r="G23" i="1" a="1"/>
  <c r="G23" i="1" s="1"/>
  <c r="F23" i="1" s="1"/>
  <c r="G24" i="1" a="1"/>
  <c r="G24" i="1" s="1"/>
  <c r="F24" i="1" s="1"/>
  <c r="G25" i="1" a="1"/>
  <c r="G25" i="1" s="1"/>
  <c r="F25" i="1" s="1"/>
  <c r="G26" i="1" a="1"/>
  <c r="G26" i="1" s="1"/>
  <c r="F26" i="1" s="1"/>
  <c r="G27" i="1" a="1"/>
  <c r="G27" i="1" s="1"/>
  <c r="F27" i="1" s="1"/>
  <c r="G28" i="1" a="1"/>
  <c r="G28" i="1" s="1"/>
  <c r="F28" i="1" s="1"/>
  <c r="G29" i="1" a="1"/>
  <c r="G29" i="1" s="1"/>
  <c r="F29" i="1" s="1"/>
  <c r="G30" i="1" a="1"/>
  <c r="G30" i="1" s="1"/>
  <c r="F30" i="1" s="1"/>
  <c r="G31" i="1" a="1"/>
  <c r="G31" i="1" s="1"/>
  <c r="F31" i="1" s="1"/>
  <c r="E30" i="1"/>
  <c r="E31" i="1"/>
  <c r="B30" i="1"/>
  <c r="C30" i="1"/>
  <c r="B31" i="1"/>
  <c r="P31" i="1" s="1"/>
  <c r="C31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1" i="1"/>
  <c r="O7" i="1"/>
  <c r="B22" i="1"/>
  <c r="C22" i="1"/>
  <c r="E22" i="1"/>
  <c r="B23" i="1"/>
  <c r="C23" i="1"/>
  <c r="E23" i="1"/>
  <c r="B24" i="1"/>
  <c r="C24" i="1"/>
  <c r="E24" i="1"/>
  <c r="B25" i="1"/>
  <c r="C25" i="1"/>
  <c r="E25" i="1"/>
  <c r="B26" i="1"/>
  <c r="C26" i="1"/>
  <c r="E26" i="1"/>
  <c r="B27" i="1"/>
  <c r="C27" i="1"/>
  <c r="E27" i="1"/>
  <c r="B28" i="1"/>
  <c r="C28" i="1"/>
  <c r="E28" i="1"/>
  <c r="B29" i="1"/>
  <c r="C29" i="1"/>
  <c r="E29" i="1"/>
  <c r="B18" i="1"/>
  <c r="C18" i="1"/>
  <c r="E18" i="1"/>
  <c r="B19" i="1"/>
  <c r="C19" i="1"/>
  <c r="E19" i="1"/>
  <c r="B20" i="1"/>
  <c r="C20" i="1"/>
  <c r="E20" i="1"/>
  <c r="B21" i="1"/>
  <c r="C21" i="1"/>
  <c r="E21" i="1"/>
  <c r="E17" i="1"/>
  <c r="E8" i="1"/>
  <c r="E9" i="1"/>
  <c r="E10" i="1"/>
  <c r="E11" i="1"/>
  <c r="E12" i="1"/>
  <c r="E13" i="1"/>
  <c r="E14" i="1"/>
  <c r="E15" i="1"/>
  <c r="E16" i="1"/>
  <c r="E7" i="1"/>
  <c r="C8" i="1"/>
  <c r="C9" i="1"/>
  <c r="C10" i="1"/>
  <c r="C11" i="1"/>
  <c r="C12" i="1"/>
  <c r="C13" i="1"/>
  <c r="C14" i="1"/>
  <c r="C15" i="1"/>
  <c r="C16" i="1"/>
  <c r="C17" i="1"/>
  <c r="C7" i="1"/>
  <c r="B8" i="1"/>
  <c r="B9" i="1"/>
  <c r="B10" i="1"/>
  <c r="B11" i="1"/>
  <c r="B12" i="1"/>
  <c r="B13" i="1"/>
  <c r="B14" i="1"/>
  <c r="B15" i="1"/>
  <c r="B16" i="1"/>
  <c r="B17" i="1"/>
  <c r="B7" i="1"/>
  <c r="A13" i="9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P30" i="1" l="1"/>
  <c r="P9" i="1"/>
  <c r="G9" i="1" s="1" a="1"/>
  <c r="G9" i="1" s="1"/>
  <c r="F9" i="1" s="1"/>
  <c r="P8" i="1"/>
  <c r="G8" i="1" s="1" a="1"/>
  <c r="G8" i="1" s="1"/>
  <c r="F8" i="1" s="1"/>
  <c r="P16" i="1"/>
  <c r="P23" i="1"/>
  <c r="P15" i="1"/>
  <c r="P24" i="1"/>
  <c r="P7" i="1"/>
  <c r="G7" i="1" s="1" a="1"/>
  <c r="G7" i="1" s="1"/>
  <c r="F7" i="1" s="1"/>
  <c r="P22" i="1"/>
  <c r="P14" i="1"/>
  <c r="P29" i="1"/>
  <c r="P21" i="1"/>
  <c r="P13" i="1"/>
  <c r="P28" i="1"/>
  <c r="P20" i="1"/>
  <c r="P12" i="1"/>
  <c r="G12" i="1" s="1" a="1"/>
  <c r="G12" i="1" s="1"/>
  <c r="F12" i="1" s="1"/>
  <c r="P27" i="1"/>
  <c r="P19" i="1"/>
  <c r="P11" i="1"/>
  <c r="P26" i="1"/>
  <c r="P18" i="1"/>
  <c r="P10" i="1"/>
  <c r="G10" i="1" s="1" a="1"/>
  <c r="G10" i="1" s="1"/>
  <c r="F10" i="1" s="1"/>
  <c r="P25" i="1"/>
  <c r="P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CC99F5-E41A-470F-BCF8-13D96EFF6E8A}" keepAlive="1" name="Query - _dimFactory" description="Connection to the '_dimFactory' query in the workbook." type="5" refreshedVersion="7" background="1" refreshOnLoad="1" saveData="1">
    <dbPr connection="Provider=Microsoft.Mashup.OleDb.1;Data Source=$Workbook$;Location=_dimFactory;Extended Properties=&quot;&quot;" command="SELECT * FROM [_dimFactory]"/>
  </connection>
  <connection id="2" xr16:uid="{5A0C604B-B0A0-4813-88A5-D1438EC0D032}" keepAlive="1" name="Query - _dimMoldCondition" description="Connection to the '_dimMoldCondition' query in the workbook." type="5" refreshedVersion="7" background="1" refreshOnLoad="1" saveData="1">
    <dbPr connection="Provider=Microsoft.Mashup.OleDb.1;Data Source=$Workbook$;Location=_dimMoldCondition;Extended Properties=&quot;&quot;" command="SELECT * FROM [_dimMoldCondition]"/>
  </connection>
  <connection id="3" xr16:uid="{4AE68627-A25E-4C32-9D9C-A9FA1CA2EDE1}" keepAlive="1" name="Query - _dimMoldHierachies" description="Connection to the '_dimMoldHierachies' query in the workbook." type="5" refreshedVersion="7" background="1" refreshOnLoad="1" saveData="1">
    <dbPr connection="Provider=Microsoft.Mashup.OleDb.1;Data Source=$Workbook$;Location=_dimMoldHierachies;Extended Properties=&quot;&quot;" command="SELECT * FROM [_dimMoldHierachies]"/>
  </connection>
  <connection id="4" xr16:uid="{C68B2E37-B0C5-4FB9-B3DE-D2ABBC8BAF08}" keepAlive="1" name="Query - _dimMoldOwnership" description="Connection to the '_dimMoldOwnership' query in the workbook." type="5" refreshedVersion="7" background="1" refreshOnLoad="1" saveData="1">
    <dbPr connection="Provider=Microsoft.Mashup.OleDb.1;Data Source=$Workbook$;Location=_dimMoldOwnership;Extended Properties=&quot;&quot;" command="SELECT * FROM [_dimMoldOwnership]"/>
  </connection>
  <connection id="5" xr16:uid="{576CC213-4346-4FA9-9965-33A0C2EA2C70}" keepAlive="1" name="Query - _dimVendor" description="Connection to the '_dimVendor' query in the workbook." type="5" refreshedVersion="7" background="1" refreshOnLoad="1" saveData="1">
    <dbPr connection="Provider=Microsoft.Mashup.OleDb.1;Data Source=$Workbook$;Location=_dimVendor;Extended Properties=&quot;&quot;" command="SELECT * FROM [_dimVendor]"/>
  </connection>
  <connection id="6" xr16:uid="{94254A25-D861-4BD3-9D1D-BC3A3A6E27D0}" keepAlive="1" name="Query - Nagigation" description="Connection to the 'Nagigation' query in the workbook." type="5" refreshedVersion="0" background="1" refreshOnLoad="1" saveData="1">
    <dbPr connection="Provider=Microsoft.Mashup.OleDb.1;Data Source=$Workbook$;Location=Nagigation;Extended Properties=&quot;&quot;" command="SELECT * FROM [Nagiga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<sst xmlns="http://schemas.openxmlformats.org/spreadsheetml/2006/main" count="685" uniqueCount="473">
  <si>
    <t>Mold Summary</t>
  </si>
  <si>
    <t>INPUT – EDIT HERE</t>
  </si>
  <si>
    <t>Component Code</t>
  </si>
  <si>
    <t>Component Name</t>
  </si>
  <si>
    <t>Vendor Name</t>
  </si>
  <si>
    <t>Mold Shop</t>
  </si>
  <si>
    <t>Location</t>
  </si>
  <si>
    <t>Total Mold Qty</t>
  </si>
  <si>
    <t>Check</t>
  </si>
  <si>
    <t>Mold Ownership</t>
  </si>
  <si>
    <t>Mold Condition</t>
  </si>
  <si>
    <t>Init Season</t>
  </si>
  <si>
    <t>Mold Init Cost</t>
  </si>
  <si>
    <t>Comments</t>
  </si>
  <si>
    <t xml:space="preserve">Component Code </t>
  </si>
  <si>
    <t>Sole Type</t>
  </si>
  <si>
    <t>1. Good</t>
  </si>
  <si>
    <t>3. Waring</t>
  </si>
  <si>
    <t>4. Un-Useable</t>
  </si>
  <si>
    <t>Vendor ID</t>
  </si>
  <si>
    <t>Vendor Short Name</t>
  </si>
  <si>
    <t>Vendor Full Name</t>
  </si>
  <si>
    <t>Vendor Group ID</t>
  </si>
  <si>
    <t>Vendor Group</t>
  </si>
  <si>
    <t>wDay pMonth</t>
  </si>
  <si>
    <t>Facility_ID</t>
  </si>
  <si>
    <t>Special Name</t>
  </si>
  <si>
    <t>FTY000520</t>
  </si>
  <si>
    <t>FineChemical-CN</t>
  </si>
  <si>
    <t>FINE CHEMICAL DONGGUAN CO.,LTD</t>
  </si>
  <si>
    <t>CN</t>
  </si>
  <si>
    <t>SUP000276</t>
  </si>
  <si>
    <t>FineChemical</t>
  </si>
  <si>
    <t>FTY000826</t>
  </si>
  <si>
    <t>FulgentSun-ID</t>
  </si>
  <si>
    <t>PT. SUN BRIGHT LESTARI</t>
  </si>
  <si>
    <t>ID</t>
  </si>
  <si>
    <t>SUP000419</t>
  </si>
  <si>
    <t>Fulgent Sun</t>
  </si>
  <si>
    <t>FTY000513</t>
  </si>
  <si>
    <t>Galli-VN</t>
  </si>
  <si>
    <t>GALLI INTERNATIONAL INDUSTRIAL (VIETNAM)</t>
  </si>
  <si>
    <t>VN</t>
  </si>
  <si>
    <t>SUP000277</t>
  </si>
  <si>
    <t>Galli</t>
  </si>
  <si>
    <t>FTY000475</t>
  </si>
  <si>
    <t>GiaJiu-BD(TryOn)</t>
  </si>
  <si>
    <t>TRY ON SHOE MATERIAL (BD) LTD</t>
  </si>
  <si>
    <t>BD</t>
  </si>
  <si>
    <t>SUP000278</t>
  </si>
  <si>
    <t>GiaJiu</t>
  </si>
  <si>
    <t>TryOn</t>
  </si>
  <si>
    <t>FTY000767</t>
  </si>
  <si>
    <t>GiaJiu-BD(ShengChang)</t>
  </si>
  <si>
    <t>SHENG CHANG SHOES (BD) LTD</t>
  </si>
  <si>
    <t>ShengChang</t>
  </si>
  <si>
    <t>FTY000484</t>
  </si>
  <si>
    <t>GiaJiu-VN(FortuneArt/Joyful)</t>
  </si>
  <si>
    <t>JOYFUL SUNSHINE LIMITED (FORTUNE ART)</t>
  </si>
  <si>
    <t>FortuneArt/Joyful</t>
  </si>
  <si>
    <t>FTY000688</t>
  </si>
  <si>
    <t>GiaJiu-VN(GiaChiu)</t>
  </si>
  <si>
    <t>GIACHIU CO., LTD - VIETNAM</t>
  </si>
  <si>
    <t>GiaChiu</t>
  </si>
  <si>
    <t>FTY000594</t>
  </si>
  <si>
    <t>GiaJiu-VN(SuccessProsperity)</t>
  </si>
  <si>
    <t>SUCCESS PROSPERITY SHOE MATERIAL CO.,LTD</t>
  </si>
  <si>
    <t>SuccessProsperity</t>
  </si>
  <si>
    <t>FTY000614</t>
  </si>
  <si>
    <t>GiaJiu-VN(TryOn)</t>
  </si>
  <si>
    <t>DAZZLING ASIA LIMITED (TRY ON VN)</t>
  </si>
  <si>
    <t>FTY000666</t>
  </si>
  <si>
    <t>GoldenSky-BD</t>
  </si>
  <si>
    <t xml:space="preserve">GOLDEN SKY FOOTWEAR CO., LTD </t>
  </si>
  <si>
    <t>SUP000279</t>
  </si>
  <si>
    <t>GoldenSky</t>
  </si>
  <si>
    <t>FTY000645</t>
  </si>
  <si>
    <t>GoldenSky-CN</t>
  </si>
  <si>
    <t>DONGGUAN QIANHUI SHOE MATERIALS CO., LTD</t>
  </si>
  <si>
    <t>FTY000480</t>
  </si>
  <si>
    <t>GuoSheng-CN</t>
  </si>
  <si>
    <t>FUJIAN XINGXUN NEW MATERIALS TECHNOLOGY CO.,LTD</t>
  </si>
  <si>
    <t>SUP000248</t>
  </si>
  <si>
    <t>GuoSheng</t>
  </si>
  <si>
    <t>FTY000773</t>
  </si>
  <si>
    <t>GuoSheng-VN</t>
  </si>
  <si>
    <t>VIETNAM XINGXUN INDUSTRY LIMITED</t>
  </si>
  <si>
    <t>FTY000575</t>
  </si>
  <si>
    <t>JiaTai-CN(HengMao)</t>
  </si>
  <si>
    <t xml:space="preserve">QZ HENGMAO PLASTIC CO.,LTD </t>
  </si>
  <si>
    <t>SUP000282</t>
  </si>
  <si>
    <t>JiaTai</t>
  </si>
  <si>
    <t>HengMao</t>
  </si>
  <si>
    <t>FTY000658</t>
  </si>
  <si>
    <t>JiaYu-CN</t>
  </si>
  <si>
    <t>ZHONGSHAN JIAYU PLASTIC PRODUCTS CO.,LTD</t>
  </si>
  <si>
    <t>SUP000127</t>
  </si>
  <si>
    <t>JiaYu</t>
  </si>
  <si>
    <t>FTY000644</t>
  </si>
  <si>
    <t>JiaYu-VN</t>
  </si>
  <si>
    <t>JIAYU INTERNATIONAL INDUSTRIAL (VN) - VIETNAM</t>
  </si>
  <si>
    <t>FTY000319</t>
  </si>
  <si>
    <t>JoinWin-CN</t>
  </si>
  <si>
    <t>JOIN WIN FOOTWEAR (ZHONGSHAN) CO.,LTD</t>
  </si>
  <si>
    <t>SUP000249</t>
  </si>
  <si>
    <t>JoinWin</t>
  </si>
  <si>
    <t>FTY000410</t>
  </si>
  <si>
    <t>JoinWin-VN</t>
  </si>
  <si>
    <t>JOIN WIN (VIETNAM) LIMITED COMPANY</t>
  </si>
  <si>
    <t>FTY000616</t>
  </si>
  <si>
    <t>JunYi-CN</t>
  </si>
  <si>
    <t>FOSHAN JUNYI SHOES CO., LTD</t>
  </si>
  <si>
    <t>SUP000285</t>
  </si>
  <si>
    <t>JunYi</t>
  </si>
  <si>
    <t>FTY000696</t>
  </si>
  <si>
    <t>JunYi-VN</t>
  </si>
  <si>
    <t>PHUC HOANG ONE MEMBER CO., LTD</t>
  </si>
  <si>
    <t>FTY000654</t>
  </si>
  <si>
    <t>LongSheng-CN</t>
  </si>
  <si>
    <t>FUJIAN LONGSHENG LIGHT INDSUTRY CO., LTD</t>
  </si>
  <si>
    <t>SUP000289</t>
  </si>
  <si>
    <t>LongSheng</t>
  </si>
  <si>
    <t>FTY000686</t>
  </si>
  <si>
    <t>MayorBean-KH</t>
  </si>
  <si>
    <t>THE INHERITANCE (CAMBODIA), CO, LTD</t>
  </si>
  <si>
    <t>KH</t>
  </si>
  <si>
    <t>SUP000290</t>
  </si>
  <si>
    <t>MayorBean</t>
  </si>
  <si>
    <t>FTY000427</t>
  </si>
  <si>
    <t>MayorBean-VN(HanThai)</t>
  </si>
  <si>
    <t>HAN THAI SHOES ACCESSORIES COMPANY LIMITED</t>
  </si>
  <si>
    <t>HanThai</t>
  </si>
  <si>
    <t>FTY000667</t>
  </si>
  <si>
    <t>MayorBean-VN(QuangThai)</t>
  </si>
  <si>
    <t>QUANG THAI CO.,LTD</t>
  </si>
  <si>
    <t>QuangThai</t>
  </si>
  <si>
    <t>FTY000050</t>
  </si>
  <si>
    <t>Meramec-CN</t>
  </si>
  <si>
    <t>ENPING MERATECH ADVANCE MATERIAL CO., LTD</t>
  </si>
  <si>
    <t>SUP000252</t>
  </si>
  <si>
    <t>Meramec</t>
  </si>
  <si>
    <t>FTY000471</t>
  </si>
  <si>
    <t>PengHui-CN</t>
  </si>
  <si>
    <t>PENGHUI MATERIAL FACTORY</t>
  </si>
  <si>
    <t>SUP000254</t>
  </si>
  <si>
    <t>PengHui</t>
  </si>
  <si>
    <t>FTY000496</t>
  </si>
  <si>
    <t>PengHui-VN</t>
  </si>
  <si>
    <t>PENGHUI MATERIAL FACTORY VN</t>
  </si>
  <si>
    <t>FTY000481</t>
  </si>
  <si>
    <t>PinXiang-CN</t>
  </si>
  <si>
    <t>DONGGUAN PINXIANG SHOE MATERIALS CO.,LTD</t>
  </si>
  <si>
    <t>SUP000291</t>
  </si>
  <si>
    <t>PinXiang</t>
  </si>
  <si>
    <t>FTY000599</t>
  </si>
  <si>
    <t>PinXiang-VN</t>
  </si>
  <si>
    <t>VIETNAM PINXIANG SHOE MATERIALS CO .,LTD</t>
  </si>
  <si>
    <t>FTY000500</t>
  </si>
  <si>
    <t>PouYuen-VN</t>
  </si>
  <si>
    <t>POUYUEN VIETNAM COMPANY LIMITED</t>
  </si>
  <si>
    <t>SUP000292</t>
  </si>
  <si>
    <t>PouYuen</t>
  </si>
  <si>
    <t>FTY000532</t>
  </si>
  <si>
    <t>RongDa-BD</t>
  </si>
  <si>
    <t>RONGDA INTERNATIONAL ENTERPRISE LTD</t>
  </si>
  <si>
    <t>SUP000255</t>
  </si>
  <si>
    <t>RongDa</t>
  </si>
  <si>
    <t>FTY000547</t>
  </si>
  <si>
    <t>RongDa-CN</t>
  </si>
  <si>
    <t>ZHONGSHAN RONGDA SHOE MATERIAL CO., LTD</t>
  </si>
  <si>
    <t>FTY000725</t>
  </si>
  <si>
    <t>ShengNuo-ID</t>
  </si>
  <si>
    <t>PT.SHENGNU SPORTS PRODUCTS INDONESIA</t>
  </si>
  <si>
    <t>SUP000365</t>
  </si>
  <si>
    <t>ShengNuo</t>
  </si>
  <si>
    <t>FTY000720</t>
  </si>
  <si>
    <t>Stella-ID(Sabina)</t>
  </si>
  <si>
    <t>PT. YOUNG TREE INDUSTRIES</t>
  </si>
  <si>
    <t>SUP000363</t>
  </si>
  <si>
    <t>Stella</t>
  </si>
  <si>
    <t>Sabina</t>
  </si>
  <si>
    <t>FTY000712</t>
  </si>
  <si>
    <t>SungShin-ID</t>
  </si>
  <si>
    <t>PT. SUNGSHIN INDONESIA</t>
  </si>
  <si>
    <t>SUP000357</t>
  </si>
  <si>
    <t>SungShin</t>
  </si>
  <si>
    <t>FTY000710</t>
  </si>
  <si>
    <t>SungShin-VN</t>
  </si>
  <si>
    <t>SUNGSHIN A II VIETNAM CO., LTD</t>
  </si>
  <si>
    <t>FTY000615</t>
  </si>
  <si>
    <t>TBS-VN</t>
  </si>
  <si>
    <t>TBS GROUP.CO</t>
  </si>
  <si>
    <t>SUP000333</t>
  </si>
  <si>
    <t>TBS</t>
  </si>
  <si>
    <t>FTY000741</t>
  </si>
  <si>
    <t>Vibram-CN</t>
  </si>
  <si>
    <t>CHINA VIBRAM COMPANY LIMITED</t>
  </si>
  <si>
    <t>SUP000299</t>
  </si>
  <si>
    <t>Vibram</t>
  </si>
  <si>
    <t>FTY000742</t>
  </si>
  <si>
    <t>Vibram-VN</t>
  </si>
  <si>
    <t>VIETNAM VIBRAM COMPANY LIMITED</t>
  </si>
  <si>
    <t>FTY000617</t>
  </si>
  <si>
    <t>WanFu-VN</t>
  </si>
  <si>
    <t>WANFU (VIETNAM) SHOES METERIALS CO., LTD</t>
  </si>
  <si>
    <t>SUP000300</t>
  </si>
  <si>
    <t>WanFu</t>
  </si>
  <si>
    <t>FTY000650</t>
  </si>
  <si>
    <t>XingTaiLai-CN</t>
  </si>
  <si>
    <t>DONGGUAN XINGTAILAI SPORTS PRODUCTS CO.,LTD</t>
  </si>
  <si>
    <t>SUP000218</t>
  </si>
  <si>
    <t>XingTaiLai</t>
  </si>
  <si>
    <t>FTY000632</t>
  </si>
  <si>
    <t>XingTaiLai-VN</t>
  </si>
  <si>
    <t>XINGTAILAI SPORTS PRODUCTS CO.,LTD</t>
  </si>
  <si>
    <t>FTY000726</t>
  </si>
  <si>
    <t>YeiJer-BD</t>
  </si>
  <si>
    <t>YEIJER INDUSTRIAL CO. LTD</t>
  </si>
  <si>
    <t>SUP000259</t>
  </si>
  <si>
    <t>YeiJer</t>
  </si>
  <si>
    <t>FTY000641</t>
  </si>
  <si>
    <t>YeiJer-CN</t>
  </si>
  <si>
    <t>FOSHAN NANHAI YEIJER SHOE PARTS CO., LTD</t>
  </si>
  <si>
    <t>FTY000438</t>
  </si>
  <si>
    <t>YeiJer-VN</t>
  </si>
  <si>
    <t>YEIJER SHOE PARTS CO.LTD</t>
  </si>
  <si>
    <t>FTY000630</t>
  </si>
  <si>
    <t>Yixin-CN</t>
  </si>
  <si>
    <t>HUIZHOU YIXIN SPORTS EQUIPMENT CO,. LTD</t>
  </si>
  <si>
    <t>SUP000302</t>
  </si>
  <si>
    <t>Yixin</t>
  </si>
  <si>
    <t>FTY000772</t>
  </si>
  <si>
    <t>Yixin-ID</t>
  </si>
  <si>
    <t>PT YIXIN MAJU INDONESIA</t>
  </si>
  <si>
    <t>FTY000580</t>
  </si>
  <si>
    <t>YiYing-CN</t>
  </si>
  <si>
    <t>YIYING (QINGYUAN) FOAMED MATERIALS CO.,LTD</t>
  </si>
  <si>
    <t>SUP000303</t>
  </si>
  <si>
    <t>YiYing</t>
  </si>
  <si>
    <t>FTY000538</t>
  </si>
  <si>
    <t>YiYing-VN</t>
  </si>
  <si>
    <t>WINNER (VIETNAM) SHOE MATERIAL CO.,LTD</t>
  </si>
  <si>
    <t>FTY000551</t>
  </si>
  <si>
    <t>YiZhu-VN</t>
  </si>
  <si>
    <t>YIZHU CHEMISTRY CO.,LTD</t>
  </si>
  <si>
    <t>SUP000260</t>
  </si>
  <si>
    <t>YiZhu</t>
  </si>
  <si>
    <t>FTY000715</t>
  </si>
  <si>
    <t>YoungOne-BD</t>
  </si>
  <si>
    <t>KARNAPHULI SHOES INDUSTRIES LTD.</t>
  </si>
  <si>
    <t>SUP000389</t>
  </si>
  <si>
    <t>YoungOne</t>
  </si>
  <si>
    <t>FTY000958</t>
  </si>
  <si>
    <t>YueSheng-VN</t>
  </si>
  <si>
    <t>VIETNAM YUESHENG SHOE MATERIAL CO.,LTD.</t>
  </si>
  <si>
    <t>SUP000273</t>
  </si>
  <si>
    <t>YueSheng</t>
  </si>
  <si>
    <t>FTY000530</t>
  </si>
  <si>
    <t>ZengWei-CN</t>
  </si>
  <si>
    <t>GUANGZHOU Z AND W RUBBER CO.,LTD</t>
  </si>
  <si>
    <t>SUP000304</t>
  </si>
  <si>
    <t>ZengWei</t>
  </si>
  <si>
    <t>FTY000596</t>
  </si>
  <si>
    <t>ZengWei-VN(Tanaway)</t>
  </si>
  <si>
    <t>VIETNAM TANAWAY CO.,LTD</t>
  </si>
  <si>
    <t>FTY000432</t>
  </si>
  <si>
    <t>ZhuRui-VN</t>
  </si>
  <si>
    <t>ZHURUI (VIETNAM) CO., LTD</t>
  </si>
  <si>
    <t>SUP000269</t>
  </si>
  <si>
    <t>ZhuRui</t>
  </si>
  <si>
    <t>FTY000680</t>
  </si>
  <si>
    <t>XiongBing-CN</t>
  </si>
  <si>
    <t>ZHONGSHAN CITY XIONGBING RUBBER CO., LTD</t>
  </si>
  <si>
    <t xml:space="preserve">	SUP000301</t>
  </si>
  <si>
    <t>XiongBing</t>
  </si>
  <si>
    <t>FTY000372</t>
  </si>
  <si>
    <t>KeXiang-CN</t>
  </si>
  <si>
    <t>DONGGUAN KEXIANG CARBON FIBER PLATE CO., LTD</t>
  </si>
  <si>
    <t xml:space="preserve">	SUP000136</t>
  </si>
  <si>
    <t>KeXiang</t>
  </si>
  <si>
    <t>FTY000581</t>
  </si>
  <si>
    <t>SuHe-CN</t>
  </si>
  <si>
    <t>SUHE PLASTIC HARDWARE CO.,LTD</t>
  </si>
  <si>
    <t>SUP000190</t>
  </si>
  <si>
    <t>SuHe</t>
  </si>
  <si>
    <t>FTY000643</t>
  </si>
  <si>
    <t>Suhe-VN</t>
  </si>
  <si>
    <t>SUHE VIETNAM CO.,LTD</t>
  </si>
  <si>
    <t>FTY000443</t>
  </si>
  <si>
    <t>WanFu-CN</t>
  </si>
  <si>
    <t>ZHONGSHAN WANFU SHOES MATERIALS CO., LTD</t>
  </si>
  <si>
    <t>FTY000523</t>
  </si>
  <si>
    <t>XinBu-CN</t>
  </si>
  <si>
    <t>XINBU CARBON FIBER PLATE</t>
  </si>
  <si>
    <t>XinBu</t>
  </si>
  <si>
    <t>FTY000604</t>
  </si>
  <si>
    <t>YaoYan-CN</t>
  </si>
  <si>
    <t>DONGGUAN YAO YAN PLASTIC CO., LTD</t>
  </si>
  <si>
    <t xml:space="preserve">	SUP000221</t>
  </si>
  <si>
    <t>YaoYan</t>
  </si>
  <si>
    <t>FTY000431</t>
  </si>
  <si>
    <t>YaoYan-VN</t>
  </si>
  <si>
    <t>SONG YING PLASTIC IN SOUTH VIET NAM</t>
  </si>
  <si>
    <t>FTY000512</t>
  </si>
  <si>
    <t>Sherwood-CN(ZhongHao)</t>
  </si>
  <si>
    <t>DONGGUAN ZHONGHAO SHOES MATERIALS CO., LTD - CHINA</t>
  </si>
  <si>
    <t>SUP000257</t>
  </si>
  <si>
    <t>Sherwood</t>
  </si>
  <si>
    <t>ZhongHao</t>
  </si>
  <si>
    <t>FTY000892</t>
  </si>
  <si>
    <t>FulgentSun-KH</t>
  </si>
  <si>
    <t>LIN WEN CHIH SUNBOW ENTERPRISES CO., LTD</t>
  </si>
  <si>
    <t>FTY000315</t>
  </si>
  <si>
    <t>FulgentSun-VN</t>
  </si>
  <si>
    <t>FULGENT SUN FOOTWEAR CO., LTD</t>
  </si>
  <si>
    <t>FTY000673</t>
  </si>
  <si>
    <t>Sherwood-KH(LongCheng)</t>
  </si>
  <si>
    <t>LongCheng Shoe Parts Co.,Ltd</t>
  </si>
  <si>
    <t>LongCheng</t>
  </si>
  <si>
    <t>FTY000660</t>
  </si>
  <si>
    <t>Sherwood-CN(HongGuo)</t>
  </si>
  <si>
    <t>Sherwood Inc HongGuo Shoes Co., LTD</t>
  </si>
  <si>
    <t>HongGou</t>
  </si>
  <si>
    <t>FTY000827</t>
  </si>
  <si>
    <t>Carbon-VN</t>
  </si>
  <si>
    <t>CARBON COMPOSITE MATERIAL PRODUCTS COMPANY LIMITED</t>
  </si>
  <si>
    <t>SUP000420</t>
  </si>
  <si>
    <t>Carbon</t>
  </si>
  <si>
    <t>FTY000831</t>
  </si>
  <si>
    <t>Carbon-CN</t>
  </si>
  <si>
    <t>ZhongShan Carbon Composite Material Product Co., Ltd.</t>
  </si>
  <si>
    <t>FTY000460</t>
  </si>
  <si>
    <t>EternalProwess-VN</t>
  </si>
  <si>
    <t>Eternal Prowess VN JSC</t>
  </si>
  <si>
    <t>SUP000275</t>
  </si>
  <si>
    <t xml:space="preserve">	Eternal Prowess</t>
  </si>
  <si>
    <t>FTY000526</t>
  </si>
  <si>
    <t>HerChang-VN</t>
  </si>
  <si>
    <t>HerChang Plastic Industry Co., Ltd</t>
  </si>
  <si>
    <t>SUP000283</t>
  </si>
  <si>
    <t>HerChang</t>
  </si>
  <si>
    <t>FTY000129</t>
  </si>
  <si>
    <t>Kurim-VN</t>
  </si>
  <si>
    <t>KURIM VIETNAM CO.,LTD</t>
  </si>
  <si>
    <t>SUP000138</t>
  </si>
  <si>
    <t>Kurim</t>
  </si>
  <si>
    <t>FTY000477</t>
  </si>
  <si>
    <t>YiXin-VN(NghiaXin)</t>
  </si>
  <si>
    <t>YiXin Vietnam Co., Ltd</t>
  </si>
  <si>
    <t xml:space="preserve">	SUP000302</t>
  </si>
  <si>
    <t>YiXin</t>
  </si>
  <si>
    <t>Nghia Xin</t>
  </si>
  <si>
    <t>Factory Number</t>
  </si>
  <si>
    <t>Factory Name</t>
  </si>
  <si>
    <t>Factory Country</t>
  </si>
  <si>
    <t>Factory Group Key</t>
  </si>
  <si>
    <t>Factory Group Name</t>
  </si>
  <si>
    <t>YGO</t>
  </si>
  <si>
    <t>YOUNG ONE</t>
  </si>
  <si>
    <t>P. T. YOUNG TREE INDUSTRIES(SUKOHAR</t>
  </si>
  <si>
    <t>STG</t>
  </si>
  <si>
    <t>MAY PHONG ENTERPRISE COMPANY LTD</t>
  </si>
  <si>
    <t>QUANZHOU JIATAI SHOES CO LTD</t>
  </si>
  <si>
    <t>JTI</t>
  </si>
  <si>
    <t>JIATAI</t>
  </si>
  <si>
    <t>GIA THAI (VIETNAM) COMPANY LIMITED</t>
  </si>
  <si>
    <t>RIGHT RICH INTERNATIONAL CO LTD</t>
  </si>
  <si>
    <t>RRG</t>
  </si>
  <si>
    <t>PT YOUNG TREE INDUSTRIES</t>
  </si>
  <si>
    <t>Hybrid</t>
  </si>
  <si>
    <t>OS1</t>
  </si>
  <si>
    <t>OS1 (Top)</t>
  </si>
  <si>
    <t>Outsole</t>
  </si>
  <si>
    <t>OS2</t>
  </si>
  <si>
    <t>OS2 (Bottom)</t>
  </si>
  <si>
    <t>MS1</t>
  </si>
  <si>
    <t>MS1 (Top)</t>
  </si>
  <si>
    <t>Midsole</t>
  </si>
  <si>
    <t>MS2</t>
  </si>
  <si>
    <t>MS2 (Bottom)</t>
  </si>
  <si>
    <t>MS3</t>
  </si>
  <si>
    <t>MS3 (Heel)</t>
  </si>
  <si>
    <t>MS1-1</t>
  </si>
  <si>
    <t>MS1 (Top - Blocker)</t>
  </si>
  <si>
    <t>MS2-1</t>
  </si>
  <si>
    <t>MS2 (Bottom - Blocker)</t>
  </si>
  <si>
    <t>Mold Inventory</t>
  </si>
  <si>
    <t>SoleType:</t>
  </si>
  <si>
    <t>Component Name:</t>
  </si>
  <si>
    <t>Compound:</t>
  </si>
  <si>
    <t>MoldSize</t>
  </si>
  <si>
    <t>ShoeSizes</t>
  </si>
  <si>
    <t>Factory Location</t>
  </si>
  <si>
    <t>Vendor Location</t>
  </si>
  <si>
    <t>Styles Using This Family</t>
  </si>
  <si>
    <t>Factory Code</t>
  </si>
  <si>
    <t>Vendor Code</t>
  </si>
  <si>
    <t>DupFlag</t>
  </si>
  <si>
    <t>MissingKeyFlag</t>
  </si>
  <si>
    <t>✏️ Key-in input</t>
  </si>
  <si>
    <t>🔽 Dropdown input</t>
  </si>
  <si>
    <t>📖 Reference</t>
  </si>
  <si>
    <t>References</t>
  </si>
  <si>
    <t>🔒 Formulas</t>
  </si>
  <si>
    <t xml:space="preserve">Brands : </t>
  </si>
  <si>
    <t>Daily Output</t>
  </si>
  <si>
    <t>WWW</t>
  </si>
  <si>
    <t>Vendor</t>
  </si>
  <si>
    <t>Mold Owner Ship</t>
  </si>
  <si>
    <t>2. Need Assessment</t>
  </si>
  <si>
    <t>Input Style Name</t>
  </si>
  <si>
    <t>Style Name</t>
  </si>
  <si>
    <t xml:space="preserve">Mold Code: </t>
  </si>
  <si>
    <t>Edit ShoeSizes as comma-separated list (e.g., 3.5, 4) Do not Merge, Insert/Delete Column, Leave blank if unknown</t>
  </si>
  <si>
    <t>Select Factory and Vendor from Dropdown List.</t>
  </si>
  <si>
    <t>KINGMAKER (VN) FOOTWEAR CO LTD</t>
  </si>
  <si>
    <t>Vietnam</t>
  </si>
  <si>
    <t>KMG</t>
  </si>
  <si>
    <t>KING MAKER</t>
  </si>
  <si>
    <t>XIN CHANG SHOES (BD) LTD - COM</t>
  </si>
  <si>
    <t>Bangladesh</t>
  </si>
  <si>
    <t>GOC</t>
  </si>
  <si>
    <t>GOLDEN CHANG</t>
  </si>
  <si>
    <t>XIN CHANG SHOES (BD) LTD - CHIT</t>
  </si>
  <si>
    <t>POU LI VIETNAM COMPANY LTD</t>
  </si>
  <si>
    <t>PCG</t>
  </si>
  <si>
    <t>POU CHEN</t>
  </si>
  <si>
    <t>China</t>
  </si>
  <si>
    <t>RIGHT RICH DEV VN CO LTD</t>
  </si>
  <si>
    <t>RIGHT RICH</t>
  </si>
  <si>
    <t>KINGMAKER CAMBODIA FOOTWEAR CO LTD</t>
  </si>
  <si>
    <t>Cambodia</t>
  </si>
  <si>
    <t>Indonesia</t>
  </si>
  <si>
    <t>STELLA</t>
  </si>
  <si>
    <t>D'CLASE ESPERANZA SHOES</t>
  </si>
  <si>
    <t>Dominican Republic</t>
  </si>
  <si>
    <t>DCL</t>
  </si>
  <si>
    <t>D'CLASE</t>
  </si>
  <si>
    <t>SPIDER KING GROUP SHOES CO LTD</t>
  </si>
  <si>
    <t>SKG</t>
  </si>
  <si>
    <t>SPIDER KING</t>
  </si>
  <si>
    <t>BLUE OCEAN FOOTWEAR LIMITED</t>
  </si>
  <si>
    <t>GRL</t>
  </si>
  <si>
    <t>GREEN LAND</t>
  </si>
  <si>
    <t>BAY FOOTWEAR LTD</t>
  </si>
  <si>
    <t>HWA LONG (CAMBODIA) FTW INDUSTRY CO</t>
  </si>
  <si>
    <t>SHW</t>
  </si>
  <si>
    <t>SHERWOOD</t>
  </si>
  <si>
    <t>POU CHEN (CAMBODIA) CO.LTD</t>
  </si>
  <si>
    <t>LIN WEN CHIH SUNBOW ENTERPRISES CO.</t>
  </si>
  <si>
    <t>FGS</t>
  </si>
  <si>
    <t>FULGENT SUN</t>
  </si>
  <si>
    <t>VIET NAM JIN CHANG SHOES CO., LTD</t>
  </si>
  <si>
    <t>CHENZHOU E-GLORY FOOTWEAR CO.,LTD</t>
  </si>
  <si>
    <t>AGL</t>
  </si>
  <si>
    <t>A-GLORY</t>
  </si>
  <si>
    <t>JIHAN FOOTWEAR (PVT.) LTD/SC SHOES</t>
  </si>
  <si>
    <t>SCB</t>
  </si>
  <si>
    <t>SOUTH CHINA</t>
  </si>
  <si>
    <t>PUTIAN XINXIESHENG FOOTWEAR CO.,LTD</t>
  </si>
  <si>
    <t>XXS</t>
  </si>
  <si>
    <t>XINXIESHENG</t>
  </si>
  <si>
    <t>GAOMI MODERN SHOES CO., LTD/SOUTH</t>
  </si>
  <si>
    <t>PUTIAN APEX FOOTWEAR CO.,LTD</t>
  </si>
  <si>
    <t>APX</t>
  </si>
  <si>
    <t>APEX</t>
  </si>
  <si>
    <t>GLORY FOOTWEAR TECHNOLOGY VN CO,LTD</t>
  </si>
  <si>
    <t>CHENZHOU E-GLORY FOOTWEAR CO.,LTD (</t>
  </si>
  <si>
    <t>GOLDEN CHANG SHOES(BD) LTD.</t>
  </si>
  <si>
    <t>NEW SHOES TIEN GIANG CO LTD</t>
  </si>
  <si>
    <t>FOSHAN LIAN HUI SHENG SHOES CO., LT</t>
  </si>
  <si>
    <t>HUI</t>
  </si>
  <si>
    <t>HUISHENG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</si>
</sst>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9"/>
      <name val="Calibri"/>
      <family val="2"/>
    </font>
    <font>
      <b/>
      <sz val="11"/>
      <name val="Calibri"/>
      <family val="2"/>
    </font>
    <font>
      <b/>
      <sz val="20"/>
      <color rgb="FF1F4E79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i/>
      <sz val="11"/>
      <name val="Calibri"/>
      <family val="2"/>
    </font>
    <font>
      <i/>
      <sz val="11"/>
      <name val="Calibri"/>
      <family val="2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F4E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2" borderId="28" xfId="0" applyFill="1" applyBorder="1" applyAlignment="1" applyProtection="1">
      <alignment horizontal="center" vertical="center"/>
      <protection hidden="1"/>
    </xf>
    <xf numFmtId="0" fontId="0" fillId="2" borderId="29" xfId="0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2" borderId="10" xfId="0" applyFill="1" applyBorder="1" applyAlignment="1" applyProtection="1">
      <alignment horizontal="center" vertical="center"/>
      <protection hidden="1"/>
    </xf>
    <xf numFmtId="0" fontId="9" fillId="0" borderId="2" xfId="0" applyFont="1" applyBorder="1" applyAlignment="1">
      <alignment horizontal="centerContinuous"/>
    </xf>
    <xf numFmtId="0" fontId="10" fillId="0" borderId="3" xfId="0" applyFont="1" applyBorder="1" applyAlignment="1">
      <alignment horizontal="centerContinuous"/>
    </xf>
    <xf numFmtId="0" fontId="11" fillId="0" borderId="3" xfId="0" applyFont="1" applyBorder="1" applyAlignment="1">
      <alignment horizontal="centerContinuous"/>
    </xf>
    <xf numFmtId="0" fontId="11" fillId="0" borderId="4" xfId="0" applyFont="1" applyBorder="1" applyAlignment="1">
      <alignment horizontal="centerContinuous"/>
    </xf>
    <xf numFmtId="0" fontId="11" fillId="0" borderId="5" xfId="0" applyFont="1" applyBorder="1" applyAlignment="1">
      <alignment horizontal="centerContinuous"/>
    </xf>
    <xf numFmtId="0" fontId="10" fillId="5" borderId="3" xfId="0" applyFont="1" applyFill="1" applyBorder="1" applyAlignment="1">
      <alignment horizontal="centerContinuous"/>
    </xf>
    <xf numFmtId="0" fontId="10" fillId="5" borderId="6" xfId="0" applyFont="1" applyFill="1" applyBorder="1" applyAlignment="1">
      <alignment horizontal="centerContinuous"/>
    </xf>
    <xf numFmtId="0" fontId="0" fillId="0" borderId="0" xfId="0" applyAlignment="1" applyProtection="1">
      <alignment horizontal="center" vertical="center" wrapText="1"/>
      <protection locked="0"/>
    </xf>
    <xf numFmtId="0" fontId="5" fillId="3" borderId="4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Continuous"/>
    </xf>
    <xf numFmtId="0" fontId="0" fillId="5" borderId="5" xfId="0" applyFill="1" applyBorder="1" applyAlignment="1">
      <alignment horizontal="centerContinuous"/>
    </xf>
    <xf numFmtId="0" fontId="0" fillId="6" borderId="14" xfId="0" applyFill="1" applyBorder="1" applyAlignment="1" applyProtection="1">
      <alignment horizontal="center" vertical="center" wrapText="1"/>
      <protection locked="0"/>
    </xf>
    <xf numFmtId="0" fontId="0" fillId="6" borderId="15" xfId="0" applyFill="1" applyBorder="1" applyAlignment="1" applyProtection="1">
      <alignment horizontal="center" vertical="center" wrapText="1"/>
      <protection locked="0"/>
    </xf>
    <xf numFmtId="0" fontId="0" fillId="6" borderId="8" xfId="0" applyFill="1" applyBorder="1" applyAlignment="1" applyProtection="1">
      <alignment horizontal="center" vertical="center" wrapText="1"/>
      <protection locked="0"/>
    </xf>
    <xf numFmtId="0" fontId="0" fillId="6" borderId="9" xfId="0" applyFill="1" applyBorder="1" applyAlignment="1" applyProtection="1">
      <alignment horizontal="center" vertical="center" wrapText="1"/>
      <protection locked="0"/>
    </xf>
    <xf numFmtId="0" fontId="0" fillId="6" borderId="35" xfId="0" applyFill="1" applyBorder="1" applyAlignment="1" applyProtection="1">
      <alignment horizontal="center" vertical="center" wrapText="1"/>
      <protection locked="0"/>
    </xf>
    <xf numFmtId="0" fontId="0" fillId="6" borderId="40" xfId="0" applyFill="1" applyBorder="1" applyAlignment="1" applyProtection="1">
      <alignment horizontal="center" vertical="center" wrapText="1"/>
      <protection locked="0"/>
    </xf>
    <xf numFmtId="0" fontId="0" fillId="6" borderId="11" xfId="0" applyFill="1" applyBorder="1" applyAlignment="1" applyProtection="1">
      <alignment horizontal="center" vertical="center" wrapText="1"/>
      <protection locked="0"/>
    </xf>
    <xf numFmtId="0" fontId="0" fillId="6" borderId="12" xfId="0" applyFill="1" applyBorder="1" applyAlignment="1" applyProtection="1">
      <alignment horizontal="center" vertical="center" wrapText="1"/>
      <protection locked="0"/>
    </xf>
    <xf numFmtId="0" fontId="0" fillId="7" borderId="33" xfId="0" applyFill="1" applyBorder="1" applyAlignment="1" applyProtection="1">
      <alignment horizontal="center" vertical="center" wrapText="1"/>
      <protection locked="0"/>
    </xf>
    <xf numFmtId="0" fontId="0" fillId="7" borderId="15" xfId="0" applyFill="1" applyBorder="1" applyAlignment="1" applyProtection="1">
      <alignment horizontal="center" vertical="center" wrapText="1"/>
      <protection locked="0"/>
    </xf>
    <xf numFmtId="165" fontId="0" fillId="7" borderId="15" xfId="1" applyNumberFormat="1" applyFont="1" applyFill="1" applyBorder="1" applyAlignment="1" applyProtection="1">
      <alignment horizontal="left" vertical="center" wrapText="1"/>
      <protection locked="0"/>
    </xf>
    <xf numFmtId="0" fontId="0" fillId="7" borderId="16" xfId="0" applyFill="1" applyBorder="1" applyAlignment="1" applyProtection="1">
      <alignment horizontal="left" vertical="center" wrapText="1"/>
      <protection locked="0"/>
    </xf>
    <xf numFmtId="0" fontId="0" fillId="7" borderId="34" xfId="0" applyFill="1" applyBorder="1" applyAlignment="1" applyProtection="1">
      <alignment horizontal="center" vertical="center" wrapText="1"/>
      <protection locked="0"/>
    </xf>
    <xf numFmtId="0" fontId="0" fillId="7" borderId="9" xfId="0" applyFill="1" applyBorder="1" applyAlignment="1" applyProtection="1">
      <alignment horizontal="center" vertical="center" wrapText="1"/>
      <protection locked="0"/>
    </xf>
    <xf numFmtId="165" fontId="0" fillId="7" borderId="9" xfId="1" applyNumberFormat="1" applyFont="1" applyFill="1" applyBorder="1" applyAlignment="1" applyProtection="1">
      <alignment horizontal="left" vertical="center" wrapText="1"/>
      <protection locked="0"/>
    </xf>
    <xf numFmtId="0" fontId="0" fillId="7" borderId="10" xfId="0" applyFill="1" applyBorder="1" applyAlignment="1" applyProtection="1">
      <alignment horizontal="left" vertical="center" wrapText="1"/>
      <protection locked="0"/>
    </xf>
    <xf numFmtId="0" fontId="0" fillId="7" borderId="41" xfId="0" applyFill="1" applyBorder="1" applyAlignment="1" applyProtection="1">
      <alignment horizontal="center" vertical="center" wrapText="1"/>
      <protection locked="0"/>
    </xf>
    <xf numFmtId="0" fontId="0" fillId="7" borderId="40" xfId="0" applyFill="1" applyBorder="1" applyAlignment="1" applyProtection="1">
      <alignment horizontal="center" vertical="center" wrapText="1"/>
      <protection locked="0"/>
    </xf>
    <xf numFmtId="165" fontId="0" fillId="7" borderId="40" xfId="1" applyNumberFormat="1" applyFont="1" applyFill="1" applyBorder="1" applyAlignment="1" applyProtection="1">
      <alignment horizontal="left" vertical="center" wrapText="1"/>
      <protection locked="0"/>
    </xf>
    <xf numFmtId="0" fontId="0" fillId="7" borderId="36" xfId="0" applyFill="1" applyBorder="1" applyAlignment="1" applyProtection="1">
      <alignment horizontal="left" vertical="center" wrapText="1"/>
      <protection locked="0"/>
    </xf>
    <xf numFmtId="0" fontId="0" fillId="7" borderId="39" xfId="0" applyFill="1" applyBorder="1" applyAlignment="1" applyProtection="1">
      <alignment horizontal="center" vertical="center" wrapText="1"/>
      <protection locked="0"/>
    </xf>
    <xf numFmtId="0" fontId="0" fillId="7" borderId="12" xfId="0" applyFill="1" applyBorder="1" applyAlignment="1" applyProtection="1">
      <alignment horizontal="center" vertical="center" wrapText="1"/>
      <protection locked="0"/>
    </xf>
    <xf numFmtId="165" fontId="0" fillId="7" borderId="12" xfId="1" applyNumberFormat="1" applyFont="1" applyFill="1" applyBorder="1" applyAlignment="1" applyProtection="1">
      <alignment horizontal="left" vertical="center" wrapText="1"/>
      <protection locked="0"/>
    </xf>
    <xf numFmtId="0" fontId="0" fillId="7" borderId="13" xfId="0" applyFill="1" applyBorder="1" applyAlignment="1" applyProtection="1">
      <alignment horizontal="left" vertical="center" wrapText="1"/>
      <protection locked="0"/>
    </xf>
    <xf numFmtId="0" fontId="0" fillId="8" borderId="43" xfId="0" applyFill="1" applyBorder="1"/>
    <xf numFmtId="0" fontId="0" fillId="7" borderId="43" xfId="0" applyFill="1" applyBorder="1"/>
    <xf numFmtId="0" fontId="12" fillId="2" borderId="14" xfId="0" applyFont="1" applyFill="1" applyBorder="1" applyAlignment="1">
      <alignment horizontal="center" vertical="center" wrapText="1"/>
    </xf>
    <xf numFmtId="0" fontId="0" fillId="2" borderId="43" xfId="0" applyFill="1" applyBorder="1"/>
    <xf numFmtId="0" fontId="0" fillId="0" borderId="0" xfId="0" applyAlignment="1">
      <alignment horizontal="center" vertical="center"/>
    </xf>
    <xf numFmtId="0" fontId="0" fillId="9" borderId="43" xfId="0" applyFill="1" applyBorder="1"/>
    <xf numFmtId="0" fontId="0" fillId="6" borderId="37" xfId="0" applyFill="1" applyBorder="1" applyAlignment="1" applyProtection="1">
      <alignment horizontal="center" vertical="center" wrapText="1"/>
      <protection locked="0"/>
    </xf>
    <xf numFmtId="0" fontId="0" fillId="6" borderId="45" xfId="0" applyFill="1" applyBorder="1" applyAlignment="1" applyProtection="1">
      <alignment horizontal="center" vertical="center" wrapText="1"/>
      <protection locked="0"/>
    </xf>
    <xf numFmtId="0" fontId="12" fillId="9" borderId="30" xfId="0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9" borderId="16" xfId="0" applyFont="1" applyFill="1" applyBorder="1" applyAlignment="1">
      <alignment horizontal="center" vertical="center" wrapText="1"/>
    </xf>
    <xf numFmtId="0" fontId="12" fillId="9" borderId="44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165" fontId="12" fillId="2" borderId="31" xfId="1" applyNumberFormat="1" applyFont="1" applyFill="1" applyBorder="1" applyAlignment="1">
      <alignment horizontal="center" vertical="center" wrapText="1"/>
    </xf>
    <xf numFmtId="165" fontId="12" fillId="2" borderId="16" xfId="1" applyNumberFormat="1" applyFont="1" applyFill="1" applyBorder="1" applyAlignment="1">
      <alignment horizontal="center" vertical="center" wrapText="1"/>
    </xf>
    <xf numFmtId="165" fontId="12" fillId="2" borderId="38" xfId="1" applyNumberFormat="1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 vertical="center" wrapText="1"/>
    </xf>
    <xf numFmtId="0" fontId="12" fillId="9" borderId="37" xfId="0" applyFont="1" applyFill="1" applyBorder="1" applyAlignment="1">
      <alignment horizontal="center" vertical="center" wrapText="1"/>
    </xf>
    <xf numFmtId="0" fontId="12" fillId="9" borderId="45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0" fillId="8" borderId="27" xfId="0" applyFill="1" applyBorder="1" applyAlignment="1" applyProtection="1">
      <alignment horizontal="center" vertical="center"/>
      <protection locked="0"/>
    </xf>
    <xf numFmtId="0" fontId="0" fillId="8" borderId="18" xfId="0" applyFill="1" applyBorder="1" applyAlignment="1" applyProtection="1">
      <alignment horizontal="center" vertical="center"/>
      <protection locked="0"/>
    </xf>
    <xf numFmtId="0" fontId="0" fillId="8" borderId="19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0" fillId="7" borderId="14" xfId="0" applyFill="1" applyBorder="1" applyProtection="1">
      <protection locked="0"/>
    </xf>
    <xf numFmtId="0" fontId="0" fillId="7" borderId="15" xfId="0" applyFill="1" applyBorder="1" applyProtection="1">
      <protection locked="0"/>
    </xf>
    <xf numFmtId="0" fontId="0" fillId="7" borderId="16" xfId="0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7" borderId="9" xfId="0" applyFill="1" applyBorder="1" applyProtection="1">
      <protection locked="0"/>
    </xf>
    <xf numFmtId="0" fontId="0" fillId="7" borderId="10" xfId="0" applyFill="1" applyBorder="1" applyProtection="1">
      <protection locked="0"/>
    </xf>
    <xf numFmtId="0" fontId="0" fillId="7" borderId="11" xfId="0" applyFill="1" applyBorder="1" applyProtection="1">
      <protection locked="0"/>
    </xf>
    <xf numFmtId="0" fontId="0" fillId="7" borderId="12" xfId="0" applyFill="1" applyBorder="1" applyProtection="1">
      <protection locked="0"/>
    </xf>
    <xf numFmtId="0" fontId="0" fillId="7" borderId="13" xfId="0" applyFill="1" applyBorder="1" applyProtection="1">
      <protection locked="0"/>
    </xf>
    <xf numFmtId="0" fontId="3" fillId="8" borderId="21" xfId="0" applyFont="1" applyFill="1" applyBorder="1" applyAlignment="1" applyProtection="1">
      <alignment horizontal="center" vertical="center" wrapText="1"/>
      <protection locked="0"/>
    </xf>
    <xf numFmtId="0" fontId="3" fillId="8" borderId="22" xfId="0" applyFont="1" applyFill="1" applyBorder="1" applyAlignment="1" applyProtection="1">
      <alignment horizontal="center" vertical="center" wrapText="1"/>
      <protection locked="0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/>
    <xf numFmtId="0" fontId="0" fillId="7" borderId="11" xfId="0" applyFill="1" applyBorder="1"/>
    <xf numFmtId="0" fontId="0" fillId="7" borderId="4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3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0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6" fillId="0" borderId="45" xfId="0" applyFont="1" applyBorder="1" applyAlignment="1">
      <alignment horizontal="centerContinuous"/>
    </xf>
    <xf numFmtId="0" fontId="7" fillId="0" borderId="48" xfId="0" applyFont="1" applyBorder="1" applyAlignment="1">
      <alignment horizontal="centerContinuous"/>
    </xf>
    <xf numFmtId="0" fontId="7" fillId="0" borderId="49" xfId="0" applyFont="1" applyBorder="1" applyAlignment="1">
      <alignment horizontal="centerContinuous"/>
    </xf>
    <xf numFmtId="0" fontId="2" fillId="0" borderId="50" xfId="0" applyFont="1" applyBorder="1" applyAlignment="1">
      <alignment horizontal="centerContinuous" vertical="center"/>
    </xf>
    <xf numFmtId="0" fontId="7" fillId="0" borderId="51" xfId="0" applyFont="1" applyBorder="1" applyAlignment="1">
      <alignment horizontal="centerContinuous"/>
    </xf>
    <xf numFmtId="0" fontId="7" fillId="0" borderId="52" xfId="0" applyFont="1" applyBorder="1" applyAlignment="1">
      <alignment horizontal="centerContinuous"/>
    </xf>
    <xf numFmtId="0" fontId="0" fillId="0" borderId="0" xfId="0" applyNumberFormat="1"/>
  </cellXfs>
  <cellStyles count="2">
    <cellStyle name="Comma" xfId="1" builtinId="3"/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fill>
        <patternFill patternType="lightTrellis">
          <fgColor rgb="FFFF0000"/>
        </patternFill>
      </fill>
    </dxf>
    <dxf>
      <font>
        <b/>
        <i val="0"/>
      </font>
      <fill>
        <patternFill patternType="gray125">
          <f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57310CA2-6B6D-48B3-90AF-25F91E69FF74}" autoFormatId="16" applyNumberFormats="0" applyBorderFormats="0" applyFontFormats="0" applyPatternFormats="0" applyAlignmentFormats="0" applyWidthHeightFormats="0">
  <queryTableRefresh nextId="4">
    <queryTableFields count="3">
      <queryTableField id="1" name="Component Code" tableColumnId="1"/>
      <queryTableField id="2" name="Component Name" tableColumnId="2"/>
      <queryTableField id="3" name="Sole Typ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B3183EE1-8EFA-42F4-9A4F-09CD2FEC7A10}" autoFormatId="16" applyNumberFormats="0" applyBorderFormats="0" applyFontFormats="0" applyPatternFormats="0" applyAlignmentFormats="0" applyWidthHeightFormats="0">
  <queryTableRefresh nextId="2">
    <queryTableFields count="1">
      <queryTableField id="1" name="Mold Condition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refreshOnLoad="1" connectionId="4" xr16:uid="{948E7980-F234-49F7-B302-CE53483FA495}" autoFormatId="16" applyNumberFormats="0" applyBorderFormats="0" applyFontFormats="0" applyPatternFormats="0" applyAlignmentFormats="0" applyWidthHeightFormats="0">
  <queryTableRefresh nextId="2">
    <queryTableFields count="1">
      <queryTableField id="1" name="Mold Owner Ship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refreshOnLoad="1" connectionId="5" xr16:uid="{6DF9AB93-6430-45C2-81EC-B238451E0A6A}" autoFormatId="16" applyNumberFormats="0" applyBorderFormats="0" applyFontFormats="0" applyPatternFormats="0" applyAlignmentFormats="0" applyWidthHeightFormats="0">
  <queryTableRefresh nextId="10">
    <queryTableFields count="9">
      <queryTableField id="1" name="Vendor ID" tableColumnId="1"/>
      <queryTableField id="2" name="Vendor Short Name" tableColumnId="2"/>
      <queryTableField id="3" name="Vendor Full Name" tableColumnId="3"/>
      <queryTableField id="4" name="Location" tableColumnId="4"/>
      <queryTableField id="5" name="Vendor Group ID" tableColumnId="5"/>
      <queryTableField id="6" name="Vendor Group" tableColumnId="6"/>
      <queryTableField id="7" name="wDay pMonth" tableColumnId="7"/>
      <queryTableField id="8" name="Facility_ID" tableColumnId="8"/>
      <queryTableField id="9" name="Special Nam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refreshOnLoad="1" connectionId="1" xr16:uid="{7BF91C2F-5D20-41DA-86E7-1BB46346CADE}" autoFormatId="16" applyNumberFormats="0" applyBorderFormats="0" applyFontFormats="0" applyPatternFormats="0" applyAlignmentFormats="0" applyWidthHeightFormats="0">
  <queryTableRefresh nextId="6">
    <queryTableFields count="5">
      <queryTableField id="1" name="Factory Number" tableColumnId="1"/>
      <queryTableField id="2" name="Factory Name" tableColumnId="2"/>
      <queryTableField id="3" name="Factory Country" tableColumnId="3"/>
      <queryTableField id="4" name="Factory Group Key" tableColumnId="4"/>
      <queryTableField id="5" name="Factory Group 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A73CAF-613F-4C7A-90B7-B48D0774EA9F}" name="_dimMoldHierarchies" displayName="_dimMoldHierarchies" ref="A1:C8" tableType="queryTable" totalsRowShown="0">
  <autoFilter ref="A1:C8" xr:uid="{93A73CAF-613F-4C7A-90B7-B48D0774EA9F}"/>
  <tableColumns count="3">
    <tableColumn id="1" xr3:uid="{2AEEB6F1-38A9-4F08-A3AA-ED4902D3C948}" uniqueName="1" name="Component Code" queryTableFieldId="1" dataDxfId="17"/>
    <tableColumn id="2" xr3:uid="{DCEF898D-84F4-44BD-A695-94ABAA0A2A21}" uniqueName="2" name="Component Name" queryTableFieldId="2" dataDxfId="16"/>
    <tableColumn id="3" xr3:uid="{CCFFCD05-2CC2-47F1-9187-B5D8A60C2FBF}" uniqueName="3" name="Sole Type" queryTableFieldId="3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11DC04-0D76-4963-AF23-D84D682CEA2E}" name="_dimMoldCondition" displayName="_dimMoldCondition" ref="E1:E5" tableType="queryTable" totalsRowShown="0">
  <autoFilter ref="E1:E5" xr:uid="{8311DC04-0D76-4963-AF23-D84D682CEA2E}"/>
  <tableColumns count="1">
    <tableColumn id="1" xr3:uid="{CC577B56-FE3F-4718-99AC-D941E2D5F465}" uniqueName="1" name="Mold Condition" queryTableFieldId="1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4452804-9158-401B-8489-2DA8CB0EF480}" name="_dimMoldOwnership" displayName="_dimMoldOwnership" ref="G1:G4" tableType="queryTable" totalsRowShown="0">
  <autoFilter ref="G1:G4" xr:uid="{84452804-9158-401B-8489-2DA8CB0EF480}"/>
  <tableColumns count="1">
    <tableColumn id="1" xr3:uid="{21AAC34C-716B-4835-95ED-3706D4279712}" uniqueName="1" name="Mold Owner Ship" queryTableFieldId="1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DCBC11-F195-4595-845B-538B2EC0A5E7}" name="_dimVendor" displayName="_dimVendor" ref="I1:Q75" tableType="queryTable" totalsRowShown="0">
  <autoFilter ref="I1:Q75" xr:uid="{2ADCBC11-F195-4595-845B-538B2EC0A5E7}"/>
  <tableColumns count="9">
    <tableColumn id="1" xr3:uid="{48077AB9-79A3-447F-BC44-6F400F3C3094}" uniqueName="1" name="Vendor ID" queryTableFieldId="1" dataDxfId="12"/>
    <tableColumn id="2" xr3:uid="{F62AA168-CE7C-4212-9CAF-9878C8804C04}" uniqueName="2" name="Vendor Short Name" queryTableFieldId="2" dataDxfId="11"/>
    <tableColumn id="3" xr3:uid="{DA4CA508-F923-466F-8B52-D9F84B278051}" uniqueName="3" name="Vendor Full Name" queryTableFieldId="3" dataDxfId="10"/>
    <tableColumn id="4" xr3:uid="{BA8ED1B4-D091-4DA2-9A53-91BF4E3F5A90}" uniqueName="4" name="Location" queryTableFieldId="4" dataDxfId="9"/>
    <tableColumn id="5" xr3:uid="{182BFA9D-7F8F-4A1B-9658-E3536C3061FA}" uniqueName="5" name="Vendor Group ID" queryTableFieldId="5" dataDxfId="8"/>
    <tableColumn id="6" xr3:uid="{FC7ECBF0-7BA4-4AFB-BB2B-7D3EE8FCC65D}" uniqueName="6" name="Vendor Group" queryTableFieldId="6" dataDxfId="7"/>
    <tableColumn id="7" xr3:uid="{8A819A57-5F51-4E78-BB07-208517D56DF2}" uniqueName="7" name="wDay pMonth" queryTableFieldId="7"/>
    <tableColumn id="8" xr3:uid="{37906A80-495C-4856-81E6-5DA2A3D83B8D}" uniqueName="8" name="Facility_ID" queryTableFieldId="8"/>
    <tableColumn id="9" xr3:uid="{C51A9E46-E7E7-44BE-8C8D-C257111BE295}" uniqueName="9" name="Special Name" queryTableFieldId="9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283DA8-1AC1-4423-AA0E-8FD932EE0144}" name="_dimFactory" displayName="_dimFactory" ref="S1:W34" tableType="queryTable" totalsRowShown="0">
  <autoFilter ref="S1:W34" xr:uid="{A8283DA8-1AC1-4423-AA0E-8FD932EE0144}"/>
  <tableColumns count="5">
    <tableColumn id="1" xr3:uid="{47A038D7-2082-4A72-8B8A-B089E94707D8}" uniqueName="1" name="Factory Number" queryTableFieldId="1"/>
    <tableColumn id="2" xr3:uid="{CE0836B4-81B0-478B-8282-40CCC95BFA87}" uniqueName="2" name="Factory Name" queryTableFieldId="2" dataDxfId="3"/>
    <tableColumn id="3" xr3:uid="{34C33013-029B-412F-A41F-89DA6F51F8CC}" uniqueName="3" name="Factory Country" queryTableFieldId="3" dataDxfId="2"/>
    <tableColumn id="4" xr3:uid="{852468E4-319C-4203-ABCE-34E97AE1228F}" uniqueName="4" name="Factory Group Key" queryTableFieldId="4" dataDxfId="1"/>
    <tableColumn id="5" xr3:uid="{D4544BAD-277F-4802-AE27-01B1D7DA26DF}" uniqueName="5" name="Factory Group Nam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6507-DFFE-4C8B-AA4D-5538BF6A69F3}">
  <dimension ref="A1:T31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RowHeight="14.25"/>
  <cols>
    <col min="1" max="1" width="10.875" customWidth="1"/>
    <col min="2" max="2" width="9.75" customWidth="1"/>
    <col min="3" max="3" width="15" customWidth="1"/>
    <col min="4" max="4" width="19.5" customWidth="1"/>
    <col min="5" max="5" width="12" customWidth="1"/>
    <col min="6" max="6" width="12.375" bestFit="1" customWidth="1"/>
    <col min="7" max="7" width="10.25" bestFit="1" customWidth="1"/>
    <col min="8" max="8" width="14" bestFit="1" customWidth="1"/>
    <col min="9" max="9" width="14.125" bestFit="1" customWidth="1"/>
    <col min="10" max="10" width="10.125" customWidth="1"/>
    <col min="11" max="13" width="9.25" customWidth="1"/>
    <col min="14" max="14" width="26.125" customWidth="1"/>
    <col min="15" max="16" width="9.75" hidden="1" customWidth="1"/>
    <col min="18" max="18" width="27.875" customWidth="1"/>
    <col min="19" max="20" width="7.25" customWidth="1"/>
  </cols>
  <sheetData>
    <row r="1" spans="1:20" ht="18" customHeight="1">
      <c r="A1" s="6" t="s">
        <v>412</v>
      </c>
      <c r="B1" s="6"/>
      <c r="C1" s="66"/>
      <c r="D1" s="66"/>
      <c r="F1" s="65"/>
      <c r="G1" s="117" t="s">
        <v>403</v>
      </c>
      <c r="H1" s="62"/>
      <c r="I1" s="117" t="s">
        <v>400</v>
      </c>
    </row>
    <row r="2" spans="1:20" ht="18" customHeight="1">
      <c r="A2" s="6" t="s">
        <v>404</v>
      </c>
      <c r="B2" s="7"/>
      <c r="F2" s="67"/>
      <c r="G2" s="118" t="s">
        <v>401</v>
      </c>
      <c r="H2" s="63"/>
      <c r="I2" s="117" t="s">
        <v>399</v>
      </c>
    </row>
    <row r="3" spans="1:20" ht="15.75" thickBot="1">
      <c r="A3" s="1"/>
      <c r="B3" s="1"/>
      <c r="C3" s="2"/>
    </row>
    <row r="4" spans="1:20" ht="27" thickBot="1">
      <c r="A4" s="3" t="s">
        <v>0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9"/>
      <c r="R4" s="122" t="s">
        <v>394</v>
      </c>
      <c r="S4" s="123"/>
      <c r="T4" s="124"/>
    </row>
    <row r="5" spans="1:20" ht="15.75" thickBot="1">
      <c r="A5" s="27" t="s">
        <v>402</v>
      </c>
      <c r="B5" s="28"/>
      <c r="C5" s="29"/>
      <c r="D5" s="29"/>
      <c r="E5" s="29"/>
      <c r="F5" s="30"/>
      <c r="G5" s="31"/>
      <c r="H5" s="36" t="s">
        <v>1</v>
      </c>
      <c r="I5" s="32"/>
      <c r="J5" s="37"/>
      <c r="K5" s="32"/>
      <c r="L5" s="32"/>
      <c r="M5" s="32"/>
      <c r="N5" s="33"/>
      <c r="R5" s="119" t="s">
        <v>410</v>
      </c>
      <c r="S5" s="120"/>
      <c r="T5" s="121"/>
    </row>
    <row r="6" spans="1:20" ht="31.5" customHeight="1" thickBot="1">
      <c r="A6" s="14" t="s">
        <v>14</v>
      </c>
      <c r="B6" s="15" t="s">
        <v>15</v>
      </c>
      <c r="C6" s="15" t="s">
        <v>3</v>
      </c>
      <c r="D6" s="15" t="s">
        <v>4</v>
      </c>
      <c r="E6" s="35" t="s">
        <v>6</v>
      </c>
      <c r="F6" s="14" t="s">
        <v>7</v>
      </c>
      <c r="G6" s="16" t="s">
        <v>8</v>
      </c>
      <c r="H6" s="14" t="s">
        <v>9</v>
      </c>
      <c r="I6" s="15" t="s">
        <v>10</v>
      </c>
      <c r="J6" s="21" t="s">
        <v>5</v>
      </c>
      <c r="K6" s="15" t="s">
        <v>11</v>
      </c>
      <c r="L6" s="15" t="s">
        <v>405</v>
      </c>
      <c r="M6" s="15" t="s">
        <v>12</v>
      </c>
      <c r="N6" s="16" t="s">
        <v>13</v>
      </c>
      <c r="O6" s="22" t="s">
        <v>398</v>
      </c>
      <c r="P6" s="22" t="s">
        <v>397</v>
      </c>
      <c r="R6" s="100" t="s">
        <v>411</v>
      </c>
      <c r="S6" s="101" t="s">
        <v>372</v>
      </c>
      <c r="T6" s="102" t="s">
        <v>377</v>
      </c>
    </row>
    <row r="7" spans="1:20" ht="15">
      <c r="A7" s="68"/>
      <c r="B7" s="70" t="str">
        <f>_xlfn.XLOOKUP($A7,_dimMoldHierarchies[Component Code],_dimMoldHierarchies[Sole Type],"")</f>
        <v/>
      </c>
      <c r="C7" s="71" t="str">
        <f>_xlfn.XLOOKUP($A7,_dimMoldHierarchies[Component Code],_dimMoldHierarchies[Component Name],"")</f>
        <v/>
      </c>
      <c r="D7" s="68"/>
      <c r="E7" s="79" t="str">
        <f>_xlfn.XLOOKUP($D7,_dimVendor[Vendor Short Name],_dimVendor[Location],"")</f>
        <v/>
      </c>
      <c r="F7" s="82" t="str">
        <f ca="1">IF(G7="OK",_xlfn.LET(_xlpm.comp,A7,_xlpm.ven,D7,_xlpm.sh,_xlpm.comp,_xlpm.hdrRow,8,_xlpm.col,MATCH(_xlpm.ven,INDIRECT("'"&amp;_xlpm.sh&amp;"'!"&amp;_xlpm.hdrRow&amp;":"&amp;_xlpm.hdrRow),0),SUM(INDEX(INDIRECT("'"&amp;_xlpm.sh&amp;"'!A:ZZ"),0,_xlpm.col))),"")</f>
        <v/>
      </c>
      <c r="G7" s="76" t="str" cm="1">
        <f t="array" ref="G7">IF(OR(A7&lt;&gt;"",D7&lt;&gt;""),_xlfn.IFS($O7,"Missing Keys",$P7,"Duplicate Keys",TRUE, "OK"),"")</f>
        <v/>
      </c>
      <c r="H7" s="38"/>
      <c r="I7" s="39"/>
      <c r="J7" s="46"/>
      <c r="K7" s="47"/>
      <c r="L7" s="48"/>
      <c r="M7" s="48"/>
      <c r="N7" s="49"/>
      <c r="O7" s="34" t="b">
        <f>OR(ISBLANK(A7),ISBLANK(D7))</f>
        <v>1</v>
      </c>
      <c r="P7" t="b">
        <f>COUNTIFS($B$7:$B$31,$B7,$D$7:$D$31,$D7)&gt;1</f>
        <v>0</v>
      </c>
      <c r="R7" s="103"/>
      <c r="S7" s="107" t="b">
        <v>0</v>
      </c>
      <c r="T7" s="108" t="b">
        <v>0</v>
      </c>
    </row>
    <row r="8" spans="1:20" ht="15">
      <c r="A8" s="68"/>
      <c r="B8" s="72" t="str">
        <f>_xlfn.XLOOKUP($A8,_dimMoldHierarchies[Component Code],_dimMoldHierarchies[Sole Type],"")</f>
        <v/>
      </c>
      <c r="C8" s="73" t="str">
        <f>_xlfn.XLOOKUP($A8,_dimMoldHierarchies[Component Code],_dimMoldHierarchies[Component Name],"")</f>
        <v/>
      </c>
      <c r="D8" s="68"/>
      <c r="E8" s="80" t="str">
        <f>_xlfn.XLOOKUP($D8,_dimVendor[Vendor Short Name],_dimVendor[Location],"")</f>
        <v/>
      </c>
      <c r="F8" s="64" t="str">
        <f t="shared" ref="F8:F31" ca="1" si="0">IF(G8="OK",_xlfn.LET(_xlpm.comp,A8,_xlpm.ven,D8,_xlpm.sh,_xlpm.comp,_xlpm.hdrRow,8,_xlpm.col,MATCH(_xlpm.ven,INDIRECT("'"&amp;_xlpm.sh&amp;"'!"&amp;_xlpm.hdrRow&amp;":"&amp;_xlpm.hdrRow),0),SUM(INDEX(INDIRECT("'"&amp;_xlpm.sh&amp;"'!A:ZZ"),0,_xlpm.col))),"")</f>
        <v/>
      </c>
      <c r="G8" s="77" t="str" cm="1">
        <f t="array" ref="G8">IF(OR(A8&lt;&gt;"",D8&lt;&gt;""),_xlfn.IFS($O8,"Missing Keys",$P8,"Duplicate Keys",TRUE, "OK"),"")</f>
        <v/>
      </c>
      <c r="H8" s="40"/>
      <c r="I8" s="41"/>
      <c r="J8" s="50"/>
      <c r="K8" s="51"/>
      <c r="L8" s="52"/>
      <c r="M8" s="52"/>
      <c r="N8" s="53"/>
      <c r="O8" s="34" t="b">
        <f t="shared" ref="O8:O31" si="1">OR(ISBLANK(A8),ISBLANK(D8))</f>
        <v>1</v>
      </c>
      <c r="P8" t="b">
        <f t="shared" ref="P8:P30" si="2">COUNTIFS($B$7:$B$31,$B8,$D$7:$D$31,$D8)&gt;1</f>
        <v>0</v>
      </c>
      <c r="R8" s="104"/>
      <c r="S8" s="109" t="b">
        <v>0</v>
      </c>
      <c r="T8" s="110" t="b">
        <v>0</v>
      </c>
    </row>
    <row r="9" spans="1:20" ht="15">
      <c r="A9" s="68"/>
      <c r="B9" s="72" t="str">
        <f>_xlfn.XLOOKUP($A9,_dimMoldHierarchies[Component Code],_dimMoldHierarchies[Sole Type],"")</f>
        <v/>
      </c>
      <c r="C9" s="73" t="str">
        <f>_xlfn.XLOOKUP($A9,_dimMoldHierarchies[Component Code],_dimMoldHierarchies[Component Name],"")</f>
        <v/>
      </c>
      <c r="D9" s="68"/>
      <c r="E9" s="80" t="str">
        <f>_xlfn.XLOOKUP($D9,_dimVendor[Vendor Short Name],_dimVendor[Location],"")</f>
        <v/>
      </c>
      <c r="F9" s="64" t="str">
        <f t="shared" ca="1" si="0"/>
        <v/>
      </c>
      <c r="G9" s="77" t="str" cm="1">
        <f t="array" ref="G9">IF(OR(A9&lt;&gt;"",D9&lt;&gt;""),_xlfn.IFS($O9,"Missing Keys",$P9,"Duplicate Keys",TRUE, "OK"),"")</f>
        <v/>
      </c>
      <c r="H9" s="40"/>
      <c r="I9" s="41"/>
      <c r="J9" s="50"/>
      <c r="K9" s="51"/>
      <c r="L9" s="52"/>
      <c r="M9" s="52"/>
      <c r="N9" s="53"/>
      <c r="O9" s="34" t="b">
        <f t="shared" si="1"/>
        <v>1</v>
      </c>
      <c r="P9" t="b">
        <f t="shared" si="2"/>
        <v>0</v>
      </c>
      <c r="R9" s="104"/>
      <c r="S9" s="109" t="b">
        <v>0</v>
      </c>
      <c r="T9" s="110" t="b">
        <v>0</v>
      </c>
    </row>
    <row r="10" spans="1:20" ht="15">
      <c r="A10" s="68"/>
      <c r="B10" s="72" t="str">
        <f>_xlfn.XLOOKUP($A10,_dimMoldHierarchies[Component Code],_dimMoldHierarchies[Sole Type],"")</f>
        <v/>
      </c>
      <c r="C10" s="73" t="str">
        <f>_xlfn.XLOOKUP($A10,_dimMoldHierarchies[Component Code],_dimMoldHierarchies[Component Name],"")</f>
        <v/>
      </c>
      <c r="D10" s="68"/>
      <c r="E10" s="80" t="str">
        <f>_xlfn.XLOOKUP($D10,_dimVendor[Vendor Short Name],_dimVendor[Location],"")</f>
        <v/>
      </c>
      <c r="F10" s="64" t="str">
        <f t="shared" ca="1" si="0"/>
        <v/>
      </c>
      <c r="G10" s="77" t="str" cm="1">
        <f t="array" ref="G10">IF(OR(A10&lt;&gt;"",D10&lt;&gt;""),_xlfn.IFS($O10,"Missing Keys",$P10,"Duplicate Keys",TRUE, "OK"),"")</f>
        <v/>
      </c>
      <c r="H10" s="40"/>
      <c r="I10" s="41"/>
      <c r="J10" s="50"/>
      <c r="K10" s="51"/>
      <c r="L10" s="52"/>
      <c r="M10" s="52"/>
      <c r="N10" s="53"/>
      <c r="O10" s="34" t="b">
        <f t="shared" si="1"/>
        <v>1</v>
      </c>
      <c r="P10" t="b">
        <f t="shared" si="2"/>
        <v>0</v>
      </c>
      <c r="R10" s="104"/>
      <c r="S10" s="109" t="b">
        <v>0</v>
      </c>
      <c r="T10" s="110" t="b">
        <v>0</v>
      </c>
    </row>
    <row r="11" spans="1:20" ht="15">
      <c r="A11" s="68"/>
      <c r="B11" s="72" t="str">
        <f>_xlfn.XLOOKUP($A11,_dimMoldHierarchies[Component Code],_dimMoldHierarchies[Sole Type],"")</f>
        <v/>
      </c>
      <c r="C11" s="73" t="str">
        <f>_xlfn.XLOOKUP($A11,_dimMoldHierarchies[Component Code],_dimMoldHierarchies[Component Name],"")</f>
        <v/>
      </c>
      <c r="D11" s="68"/>
      <c r="E11" s="80" t="str">
        <f>_xlfn.XLOOKUP($D11,_dimVendor[Vendor Short Name],_dimVendor[Location],"")</f>
        <v/>
      </c>
      <c r="F11" s="64" t="str">
        <f t="shared" ca="1" si="0"/>
        <v/>
      </c>
      <c r="G11" s="77" t="str" cm="1">
        <f t="array" ref="G11">IF(OR(A11&lt;&gt;"",D11&lt;&gt;""),_xlfn.IFS($O11,"Missing Keys",$P11,"Duplicate Keys",TRUE, "OK"),"")</f>
        <v/>
      </c>
      <c r="H11" s="40"/>
      <c r="I11" s="41"/>
      <c r="J11" s="50"/>
      <c r="K11" s="51"/>
      <c r="L11" s="52"/>
      <c r="M11" s="52"/>
      <c r="N11" s="53"/>
      <c r="O11" s="34" t="b">
        <f t="shared" si="1"/>
        <v>1</v>
      </c>
      <c r="P11" t="b">
        <f t="shared" si="2"/>
        <v>0</v>
      </c>
      <c r="R11" s="104"/>
      <c r="S11" s="109" t="b">
        <v>0</v>
      </c>
      <c r="T11" s="110" t="b">
        <v>0</v>
      </c>
    </row>
    <row r="12" spans="1:20" ht="15">
      <c r="A12" s="68"/>
      <c r="B12" s="72" t="str">
        <f>_xlfn.XLOOKUP($A12,_dimMoldHierarchies[Component Code],_dimMoldHierarchies[Sole Type],"")</f>
        <v/>
      </c>
      <c r="C12" s="73" t="str">
        <f>_xlfn.XLOOKUP($A12,_dimMoldHierarchies[Component Code],_dimMoldHierarchies[Component Name],"")</f>
        <v/>
      </c>
      <c r="D12" s="68"/>
      <c r="E12" s="80" t="str">
        <f>_xlfn.XLOOKUP($D12,_dimVendor[Vendor Short Name],_dimVendor[Location],"")</f>
        <v/>
      </c>
      <c r="F12" s="64" t="str">
        <f t="shared" ca="1" si="0"/>
        <v/>
      </c>
      <c r="G12" s="77" t="str" cm="1">
        <f t="array" ref="G12">IF(OR(A12&lt;&gt;"",D12&lt;&gt;""),_xlfn.IFS($O12,"Missing Keys",$P12,"Duplicate Keys",TRUE, "OK"),"")</f>
        <v/>
      </c>
      <c r="H12" s="40"/>
      <c r="I12" s="41"/>
      <c r="J12" s="50"/>
      <c r="K12" s="51"/>
      <c r="L12" s="52"/>
      <c r="M12" s="52"/>
      <c r="N12" s="53"/>
      <c r="O12" s="34" t="b">
        <f t="shared" si="1"/>
        <v>1</v>
      </c>
      <c r="P12" t="b">
        <f t="shared" si="2"/>
        <v>0</v>
      </c>
      <c r="R12" s="104"/>
      <c r="S12" s="109" t="b">
        <v>0</v>
      </c>
      <c r="T12" s="110" t="b">
        <v>0</v>
      </c>
    </row>
    <row r="13" spans="1:20" ht="15">
      <c r="A13" s="68"/>
      <c r="B13" s="72" t="str">
        <f>_xlfn.XLOOKUP($A13,_dimMoldHierarchies[Component Code],_dimMoldHierarchies[Sole Type],"")</f>
        <v/>
      </c>
      <c r="C13" s="73" t="str">
        <f>_xlfn.XLOOKUP($A13,_dimMoldHierarchies[Component Code],_dimMoldHierarchies[Component Name],"")</f>
        <v/>
      </c>
      <c r="D13" s="68"/>
      <c r="E13" s="80" t="str">
        <f>_xlfn.XLOOKUP($D13,_dimVendor[Vendor Short Name],_dimVendor[Location],"")</f>
        <v/>
      </c>
      <c r="F13" s="64" t="str">
        <f t="shared" ca="1" si="0"/>
        <v/>
      </c>
      <c r="G13" s="77" t="str" cm="1">
        <f t="array" ref="G13">IF(OR(A13&lt;&gt;"",D13&lt;&gt;""),_xlfn.IFS($O13,"Missing Keys",$P13,"Duplicate Keys",TRUE, "OK"),"")</f>
        <v/>
      </c>
      <c r="H13" s="40"/>
      <c r="I13" s="41"/>
      <c r="J13" s="50"/>
      <c r="K13" s="51"/>
      <c r="L13" s="52"/>
      <c r="M13" s="52"/>
      <c r="N13" s="53"/>
      <c r="O13" s="34" t="b">
        <f t="shared" si="1"/>
        <v>1</v>
      </c>
      <c r="P13" t="b">
        <f t="shared" si="2"/>
        <v>0</v>
      </c>
      <c r="R13" s="104"/>
      <c r="S13" s="109" t="b">
        <v>0</v>
      </c>
      <c r="T13" s="110" t="b">
        <v>0</v>
      </c>
    </row>
    <row r="14" spans="1:20" ht="15">
      <c r="A14" s="68"/>
      <c r="B14" s="72" t="str">
        <f>_xlfn.XLOOKUP($A14,_dimMoldHierarchies[Component Code],_dimMoldHierarchies[Sole Type],"")</f>
        <v/>
      </c>
      <c r="C14" s="73" t="str">
        <f>_xlfn.XLOOKUP($A14,_dimMoldHierarchies[Component Code],_dimMoldHierarchies[Component Name],"")</f>
        <v/>
      </c>
      <c r="D14" s="68"/>
      <c r="E14" s="80" t="str">
        <f>_xlfn.XLOOKUP($D14,_dimVendor[Vendor Short Name],_dimVendor[Location],"")</f>
        <v/>
      </c>
      <c r="F14" s="64" t="str">
        <f t="shared" ca="1" si="0"/>
        <v/>
      </c>
      <c r="G14" s="77" t="str" cm="1">
        <f t="array" ref="G14">IF(OR(A14&lt;&gt;"",D14&lt;&gt;""),_xlfn.IFS($O14,"Missing Keys",$P14,"Duplicate Keys",TRUE, "OK"),"")</f>
        <v/>
      </c>
      <c r="H14" s="40"/>
      <c r="I14" s="41"/>
      <c r="J14" s="50"/>
      <c r="K14" s="51"/>
      <c r="L14" s="52"/>
      <c r="M14" s="52"/>
      <c r="N14" s="53"/>
      <c r="O14" s="34" t="b">
        <f t="shared" si="1"/>
        <v>1</v>
      </c>
      <c r="P14" t="b">
        <f t="shared" si="2"/>
        <v>0</v>
      </c>
      <c r="R14" s="104"/>
      <c r="S14" s="109" t="b">
        <v>0</v>
      </c>
      <c r="T14" s="110" t="b">
        <v>0</v>
      </c>
    </row>
    <row r="15" spans="1:20" ht="15">
      <c r="A15" s="68"/>
      <c r="B15" s="72" t="str">
        <f>_xlfn.XLOOKUP($A15,_dimMoldHierarchies[Component Code],_dimMoldHierarchies[Sole Type],"")</f>
        <v/>
      </c>
      <c r="C15" s="73" t="str">
        <f>_xlfn.XLOOKUP($A15,_dimMoldHierarchies[Component Code],_dimMoldHierarchies[Component Name],"")</f>
        <v/>
      </c>
      <c r="D15" s="68"/>
      <c r="E15" s="80" t="str">
        <f>_xlfn.XLOOKUP($D15,_dimVendor[Vendor Short Name],_dimVendor[Location],"")</f>
        <v/>
      </c>
      <c r="F15" s="64" t="str">
        <f t="shared" ca="1" si="0"/>
        <v/>
      </c>
      <c r="G15" s="77" t="str" cm="1">
        <f t="array" ref="G15">IF(OR(A15&lt;&gt;"",D15&lt;&gt;""),_xlfn.IFS($O15,"Missing Keys",$P15,"Duplicate Keys",TRUE, "OK"),"")</f>
        <v/>
      </c>
      <c r="H15" s="40"/>
      <c r="I15" s="41"/>
      <c r="J15" s="50"/>
      <c r="K15" s="51"/>
      <c r="L15" s="52"/>
      <c r="M15" s="52"/>
      <c r="N15" s="53"/>
      <c r="O15" s="34" t="b">
        <f t="shared" si="1"/>
        <v>1</v>
      </c>
      <c r="P15" t="b">
        <f t="shared" si="2"/>
        <v>0</v>
      </c>
      <c r="R15" s="105"/>
      <c r="S15" s="111" t="b">
        <v>0</v>
      </c>
      <c r="T15" s="112" t="b">
        <v>0</v>
      </c>
    </row>
    <row r="16" spans="1:20" ht="15">
      <c r="A16" s="68"/>
      <c r="B16" s="72" t="str">
        <f>_xlfn.XLOOKUP($A16,_dimMoldHierarchies[Component Code],_dimMoldHierarchies[Sole Type],"")</f>
        <v/>
      </c>
      <c r="C16" s="73" t="str">
        <f>_xlfn.XLOOKUP($A16,_dimMoldHierarchies[Component Code],_dimMoldHierarchies[Component Name],"")</f>
        <v/>
      </c>
      <c r="D16" s="68"/>
      <c r="E16" s="80" t="str">
        <f>_xlfn.XLOOKUP($D16,_dimVendor[Vendor Short Name],_dimVendor[Location],"")</f>
        <v/>
      </c>
      <c r="F16" s="64" t="str">
        <f t="shared" ca="1" si="0"/>
        <v/>
      </c>
      <c r="G16" s="77" t="str" cm="1">
        <f t="array" ref="G16">IF(OR(A16&lt;&gt;"",D16&lt;&gt;""),_xlfn.IFS($O16,"Missing Keys",$P16,"Duplicate Keys",TRUE, "OK"),"")</f>
        <v/>
      </c>
      <c r="H16" s="40"/>
      <c r="I16" s="41"/>
      <c r="J16" s="50"/>
      <c r="K16" s="51"/>
      <c r="L16" s="52"/>
      <c r="M16" s="52"/>
      <c r="N16" s="53"/>
      <c r="O16" s="34" t="b">
        <f t="shared" si="1"/>
        <v>1</v>
      </c>
      <c r="P16" t="b">
        <f t="shared" si="2"/>
        <v>0</v>
      </c>
      <c r="R16" s="105"/>
      <c r="S16" s="111" t="b">
        <v>0</v>
      </c>
      <c r="T16" s="112" t="b">
        <v>0</v>
      </c>
    </row>
    <row r="17" spans="1:20" ht="15">
      <c r="A17" s="68"/>
      <c r="B17" s="72" t="str">
        <f>_xlfn.XLOOKUP($A17,_dimMoldHierarchies[Component Code],_dimMoldHierarchies[Sole Type],"")</f>
        <v/>
      </c>
      <c r="C17" s="73" t="str">
        <f>_xlfn.XLOOKUP($A17,_dimMoldHierarchies[Component Code],_dimMoldHierarchies[Component Name],"")</f>
        <v/>
      </c>
      <c r="D17" s="68"/>
      <c r="E17" s="80" t="str">
        <f>_xlfn.XLOOKUP($D17,_dimVendor[Vendor Short Name],_dimVendor[Location],"")</f>
        <v/>
      </c>
      <c r="F17" s="64" t="str">
        <f t="shared" ca="1" si="0"/>
        <v/>
      </c>
      <c r="G17" s="77" t="str" cm="1">
        <f t="array" ref="G17">IF(OR(A17&lt;&gt;"",D17&lt;&gt;""),_xlfn.IFS($O17,"Missing Keys",$P17,"Duplicate Keys",TRUE, "OK"),"")</f>
        <v/>
      </c>
      <c r="H17" s="40"/>
      <c r="I17" s="41"/>
      <c r="J17" s="50"/>
      <c r="K17" s="51"/>
      <c r="L17" s="52"/>
      <c r="M17" s="52"/>
      <c r="N17" s="53"/>
      <c r="O17" s="34" t="b">
        <f t="shared" si="1"/>
        <v>1</v>
      </c>
      <c r="P17" t="b">
        <f t="shared" si="2"/>
        <v>0</v>
      </c>
      <c r="R17" s="105"/>
      <c r="S17" s="111" t="b">
        <v>0</v>
      </c>
      <c r="T17" s="112" t="b">
        <v>0</v>
      </c>
    </row>
    <row r="18" spans="1:20" ht="15">
      <c r="A18" s="68"/>
      <c r="B18" s="72" t="str">
        <f>_xlfn.XLOOKUP($A18,_dimMoldHierarchies[Component Code],_dimMoldHierarchies[Sole Type],"")</f>
        <v/>
      </c>
      <c r="C18" s="73" t="str">
        <f>_xlfn.XLOOKUP($A18,_dimMoldHierarchies[Component Code],_dimMoldHierarchies[Component Name],"")</f>
        <v/>
      </c>
      <c r="D18" s="68"/>
      <c r="E18" s="80" t="str">
        <f>_xlfn.XLOOKUP($D18,_dimVendor[Vendor Short Name],_dimVendor[Location],"")</f>
        <v/>
      </c>
      <c r="F18" s="64" t="str">
        <f t="shared" ca="1" si="0"/>
        <v/>
      </c>
      <c r="G18" s="77" t="str" cm="1">
        <f t="array" ref="G18">IF(OR(A18&lt;&gt;"",D18&lt;&gt;""),_xlfn.IFS($O18,"Missing Keys",$P18,"Duplicate Keys",TRUE, "OK"),"")</f>
        <v/>
      </c>
      <c r="H18" s="40"/>
      <c r="I18" s="41"/>
      <c r="J18" s="50"/>
      <c r="K18" s="51"/>
      <c r="L18" s="52"/>
      <c r="M18" s="52"/>
      <c r="N18" s="53"/>
      <c r="O18" s="34" t="b">
        <f t="shared" si="1"/>
        <v>1</v>
      </c>
      <c r="P18" t="b">
        <f t="shared" si="2"/>
        <v>0</v>
      </c>
      <c r="R18" s="105"/>
      <c r="S18" s="111" t="b">
        <v>0</v>
      </c>
      <c r="T18" s="112" t="b">
        <v>0</v>
      </c>
    </row>
    <row r="19" spans="1:20" ht="15">
      <c r="A19" s="68"/>
      <c r="B19" s="72" t="str">
        <f>_xlfn.XLOOKUP($A19,_dimMoldHierarchies[Component Code],_dimMoldHierarchies[Sole Type],"")</f>
        <v/>
      </c>
      <c r="C19" s="73" t="str">
        <f>_xlfn.XLOOKUP($A19,_dimMoldHierarchies[Component Code],_dimMoldHierarchies[Component Name],"")</f>
        <v/>
      </c>
      <c r="D19" s="68"/>
      <c r="E19" s="80" t="str">
        <f>_xlfn.XLOOKUP($D19,_dimVendor[Vendor Short Name],_dimVendor[Location],"")</f>
        <v/>
      </c>
      <c r="F19" s="64" t="str">
        <f t="shared" ca="1" si="0"/>
        <v/>
      </c>
      <c r="G19" s="77" t="str" cm="1">
        <f t="array" ref="G19">IF(OR(A19&lt;&gt;"",D19&lt;&gt;""),_xlfn.IFS($O19,"Missing Keys",$P19,"Duplicate Keys",TRUE, "OK"),"")</f>
        <v/>
      </c>
      <c r="H19" s="40"/>
      <c r="I19" s="41"/>
      <c r="J19" s="50"/>
      <c r="K19" s="51"/>
      <c r="L19" s="52"/>
      <c r="M19" s="52"/>
      <c r="N19" s="53"/>
      <c r="O19" s="34" t="b">
        <f t="shared" si="1"/>
        <v>1</v>
      </c>
      <c r="P19" t="b">
        <f t="shared" si="2"/>
        <v>0</v>
      </c>
      <c r="R19" s="105"/>
      <c r="S19" s="111" t="b">
        <v>0</v>
      </c>
      <c r="T19" s="112" t="b">
        <v>0</v>
      </c>
    </row>
    <row r="20" spans="1:20" ht="15">
      <c r="A20" s="68"/>
      <c r="B20" s="72" t="str">
        <f>_xlfn.XLOOKUP($A20,_dimMoldHierarchies[Component Code],_dimMoldHierarchies[Sole Type],"")</f>
        <v/>
      </c>
      <c r="C20" s="73" t="str">
        <f>_xlfn.XLOOKUP($A20,_dimMoldHierarchies[Component Code],_dimMoldHierarchies[Component Name],"")</f>
        <v/>
      </c>
      <c r="D20" s="68"/>
      <c r="E20" s="80" t="str">
        <f>_xlfn.XLOOKUP($D20,_dimVendor[Vendor Short Name],_dimVendor[Location],"")</f>
        <v/>
      </c>
      <c r="F20" s="64" t="str">
        <f t="shared" ca="1" si="0"/>
        <v/>
      </c>
      <c r="G20" s="77" t="str" cm="1">
        <f t="array" ref="G20">IF(OR(A20&lt;&gt;"",D20&lt;&gt;""),_xlfn.IFS($O20,"Missing Keys",$P20,"Duplicate Keys",TRUE, "OK"),"")</f>
        <v/>
      </c>
      <c r="H20" s="40"/>
      <c r="I20" s="41"/>
      <c r="J20" s="50"/>
      <c r="K20" s="51"/>
      <c r="L20" s="52"/>
      <c r="M20" s="52"/>
      <c r="N20" s="53"/>
      <c r="O20" s="34" t="b">
        <f t="shared" si="1"/>
        <v>1</v>
      </c>
      <c r="P20" t="b">
        <f t="shared" si="2"/>
        <v>0</v>
      </c>
      <c r="R20" s="105"/>
      <c r="S20" s="111" t="b">
        <v>0</v>
      </c>
      <c r="T20" s="112" t="b">
        <v>0</v>
      </c>
    </row>
    <row r="21" spans="1:20" ht="15">
      <c r="A21" s="68"/>
      <c r="B21" s="72" t="str">
        <f>_xlfn.XLOOKUP($A21,_dimMoldHierarchies[Component Code],_dimMoldHierarchies[Sole Type],"")</f>
        <v/>
      </c>
      <c r="C21" s="73" t="str">
        <f>_xlfn.XLOOKUP($A21,_dimMoldHierarchies[Component Code],_dimMoldHierarchies[Component Name],"")</f>
        <v/>
      </c>
      <c r="D21" s="68"/>
      <c r="E21" s="80" t="str">
        <f>_xlfn.XLOOKUP($D21,_dimVendor[Vendor Short Name],_dimVendor[Location],"")</f>
        <v/>
      </c>
      <c r="F21" s="64" t="str">
        <f t="shared" ca="1" si="0"/>
        <v/>
      </c>
      <c r="G21" s="77" t="str" cm="1">
        <f t="array" ref="G21">IF(OR(A21&lt;&gt;"",D21&lt;&gt;""),_xlfn.IFS($O21,"Missing Keys",$P21,"Duplicate Keys",TRUE, "OK"),"")</f>
        <v/>
      </c>
      <c r="H21" s="40"/>
      <c r="I21" s="41"/>
      <c r="J21" s="50"/>
      <c r="K21" s="51"/>
      <c r="L21" s="52"/>
      <c r="M21" s="52"/>
      <c r="N21" s="53"/>
      <c r="O21" s="34" t="b">
        <f t="shared" si="1"/>
        <v>1</v>
      </c>
      <c r="P21" t="b">
        <f t="shared" si="2"/>
        <v>0</v>
      </c>
      <c r="R21" s="105"/>
      <c r="S21" s="111" t="b">
        <v>0</v>
      </c>
      <c r="T21" s="112" t="b">
        <v>0</v>
      </c>
    </row>
    <row r="22" spans="1:20" ht="15">
      <c r="A22" s="68"/>
      <c r="B22" s="72" t="str">
        <f>_xlfn.XLOOKUP($A22,_dimMoldHierarchies[Component Code],_dimMoldHierarchies[Sole Type],"")</f>
        <v/>
      </c>
      <c r="C22" s="73" t="str">
        <f>_xlfn.XLOOKUP($A22,_dimMoldHierarchies[Component Code],_dimMoldHierarchies[Component Name],"")</f>
        <v/>
      </c>
      <c r="D22" s="68"/>
      <c r="E22" s="80" t="str">
        <f>_xlfn.XLOOKUP($D22,_dimVendor[Vendor Short Name],_dimVendor[Location],"")</f>
        <v/>
      </c>
      <c r="F22" s="64" t="str">
        <f t="shared" ca="1" si="0"/>
        <v/>
      </c>
      <c r="G22" s="77" t="str" cm="1">
        <f t="array" ref="G22">IF(OR(A22&lt;&gt;"",D22&lt;&gt;""),_xlfn.IFS($O22,"Missing Keys",$P22,"Duplicate Keys",TRUE, "OK"),"")</f>
        <v/>
      </c>
      <c r="H22" s="40"/>
      <c r="I22" s="41"/>
      <c r="J22" s="50"/>
      <c r="K22" s="51"/>
      <c r="L22" s="52"/>
      <c r="M22" s="52"/>
      <c r="N22" s="53"/>
      <c r="O22" s="34" t="b">
        <f t="shared" si="1"/>
        <v>1</v>
      </c>
      <c r="P22" t="b">
        <f t="shared" si="2"/>
        <v>0</v>
      </c>
      <c r="R22" s="105"/>
      <c r="S22" s="111" t="b">
        <v>0</v>
      </c>
      <c r="T22" s="112" t="b">
        <v>0</v>
      </c>
    </row>
    <row r="23" spans="1:20" ht="15">
      <c r="A23" s="68"/>
      <c r="B23" s="72" t="str">
        <f>_xlfn.XLOOKUP($A23,_dimMoldHierarchies[Component Code],_dimMoldHierarchies[Sole Type],"")</f>
        <v/>
      </c>
      <c r="C23" s="73" t="str">
        <f>_xlfn.XLOOKUP($A23,_dimMoldHierarchies[Component Code],_dimMoldHierarchies[Component Name],"")</f>
        <v/>
      </c>
      <c r="D23" s="68"/>
      <c r="E23" s="80" t="str">
        <f>_xlfn.XLOOKUP($D23,_dimVendor[Vendor Short Name],_dimVendor[Location],"")</f>
        <v/>
      </c>
      <c r="F23" s="64" t="str">
        <f t="shared" ca="1" si="0"/>
        <v/>
      </c>
      <c r="G23" s="77" t="str" cm="1">
        <f t="array" ref="G23">IF(OR(A23&lt;&gt;"",D23&lt;&gt;""),_xlfn.IFS($O23,"Missing Keys",$P23,"Duplicate Keys",TRUE, "OK"),"")</f>
        <v/>
      </c>
      <c r="H23" s="40"/>
      <c r="I23" s="41"/>
      <c r="J23" s="50"/>
      <c r="K23" s="51"/>
      <c r="L23" s="52"/>
      <c r="M23" s="52"/>
      <c r="N23" s="53"/>
      <c r="O23" s="34" t="b">
        <f t="shared" si="1"/>
        <v>1</v>
      </c>
      <c r="P23" t="b">
        <f t="shared" si="2"/>
        <v>0</v>
      </c>
      <c r="R23" s="105"/>
      <c r="S23" s="111" t="b">
        <v>0</v>
      </c>
      <c r="T23" s="112" t="b">
        <v>0</v>
      </c>
    </row>
    <row r="24" spans="1:20" ht="15">
      <c r="A24" s="68"/>
      <c r="B24" s="72" t="str">
        <f>_xlfn.XLOOKUP($A24,_dimMoldHierarchies[Component Code],_dimMoldHierarchies[Sole Type],"")</f>
        <v/>
      </c>
      <c r="C24" s="73" t="str">
        <f>_xlfn.XLOOKUP($A24,_dimMoldHierarchies[Component Code],_dimMoldHierarchies[Component Name],"")</f>
        <v/>
      </c>
      <c r="D24" s="68"/>
      <c r="E24" s="80" t="str">
        <f>_xlfn.XLOOKUP($D24,_dimVendor[Vendor Short Name],_dimVendor[Location],"")</f>
        <v/>
      </c>
      <c r="F24" s="64" t="str">
        <f t="shared" ca="1" si="0"/>
        <v/>
      </c>
      <c r="G24" s="77" t="str" cm="1">
        <f t="array" ref="G24">IF(OR(A24&lt;&gt;"",D24&lt;&gt;""),_xlfn.IFS($O24,"Missing Keys",$P24,"Duplicate Keys",TRUE, "OK"),"")</f>
        <v/>
      </c>
      <c r="H24" s="40"/>
      <c r="I24" s="41"/>
      <c r="J24" s="50"/>
      <c r="K24" s="51"/>
      <c r="L24" s="52"/>
      <c r="M24" s="52"/>
      <c r="N24" s="53"/>
      <c r="O24" s="34" t="b">
        <f t="shared" si="1"/>
        <v>1</v>
      </c>
      <c r="P24" t="b">
        <f t="shared" si="2"/>
        <v>0</v>
      </c>
      <c r="R24" s="105"/>
      <c r="S24" s="111" t="b">
        <v>0</v>
      </c>
      <c r="T24" s="112" t="b">
        <v>0</v>
      </c>
    </row>
    <row r="25" spans="1:20" ht="15">
      <c r="A25" s="68"/>
      <c r="B25" s="72" t="str">
        <f>_xlfn.XLOOKUP($A25,_dimMoldHierarchies[Component Code],_dimMoldHierarchies[Sole Type],"")</f>
        <v/>
      </c>
      <c r="C25" s="73" t="str">
        <f>_xlfn.XLOOKUP($A25,_dimMoldHierarchies[Component Code],_dimMoldHierarchies[Component Name],"")</f>
        <v/>
      </c>
      <c r="D25" s="68"/>
      <c r="E25" s="80" t="str">
        <f>_xlfn.XLOOKUP($D25,_dimVendor[Vendor Short Name],_dimVendor[Location],"")</f>
        <v/>
      </c>
      <c r="F25" s="64" t="str">
        <f t="shared" ca="1" si="0"/>
        <v/>
      </c>
      <c r="G25" s="77" t="str" cm="1">
        <f t="array" ref="G25">IF(OR(A25&lt;&gt;"",D25&lt;&gt;""),_xlfn.IFS($O25,"Missing Keys",$P25,"Duplicate Keys",TRUE, "OK"),"")</f>
        <v/>
      </c>
      <c r="H25" s="40"/>
      <c r="I25" s="41"/>
      <c r="J25" s="50"/>
      <c r="K25" s="51"/>
      <c r="L25" s="52"/>
      <c r="M25" s="52"/>
      <c r="N25" s="53"/>
      <c r="O25" s="34" t="b">
        <f t="shared" si="1"/>
        <v>1</v>
      </c>
      <c r="P25" t="b">
        <f t="shared" si="2"/>
        <v>0</v>
      </c>
      <c r="R25" s="105"/>
      <c r="S25" s="111" t="b">
        <v>0</v>
      </c>
      <c r="T25" s="112" t="b">
        <v>0</v>
      </c>
    </row>
    <row r="26" spans="1:20" ht="15">
      <c r="A26" s="68"/>
      <c r="B26" s="72" t="str">
        <f>_xlfn.XLOOKUP($A26,_dimMoldHierarchies[Component Code],_dimMoldHierarchies[Sole Type],"")</f>
        <v/>
      </c>
      <c r="C26" s="73" t="str">
        <f>_xlfn.XLOOKUP($A26,_dimMoldHierarchies[Component Code],_dimMoldHierarchies[Component Name],"")</f>
        <v/>
      </c>
      <c r="D26" s="68"/>
      <c r="E26" s="80" t="str">
        <f>_xlfn.XLOOKUP($D26,_dimVendor[Vendor Short Name],_dimVendor[Location],"")</f>
        <v/>
      </c>
      <c r="F26" s="64" t="str">
        <f t="shared" ca="1" si="0"/>
        <v/>
      </c>
      <c r="G26" s="77" t="str" cm="1">
        <f t="array" ref="G26">IF(OR(A26&lt;&gt;"",D26&lt;&gt;""),_xlfn.IFS($O26,"Missing Keys",$P26,"Duplicate Keys",TRUE, "OK"),"")</f>
        <v/>
      </c>
      <c r="H26" s="40"/>
      <c r="I26" s="41"/>
      <c r="J26" s="50"/>
      <c r="K26" s="51"/>
      <c r="L26" s="52"/>
      <c r="M26" s="52"/>
      <c r="N26" s="53"/>
      <c r="O26" s="34" t="b">
        <f t="shared" si="1"/>
        <v>1</v>
      </c>
      <c r="P26" t="b">
        <f t="shared" si="2"/>
        <v>0</v>
      </c>
      <c r="R26" s="105"/>
      <c r="S26" s="111" t="b">
        <v>0</v>
      </c>
      <c r="T26" s="112" t="b">
        <v>0</v>
      </c>
    </row>
    <row r="27" spans="1:20" ht="15">
      <c r="A27" s="68"/>
      <c r="B27" s="72" t="str">
        <f>_xlfn.XLOOKUP($A27,_dimMoldHierarchies[Component Code],_dimMoldHierarchies[Sole Type],"")</f>
        <v/>
      </c>
      <c r="C27" s="73" t="str">
        <f>_xlfn.XLOOKUP($A27,_dimMoldHierarchies[Component Code],_dimMoldHierarchies[Component Name],"")</f>
        <v/>
      </c>
      <c r="D27" s="68"/>
      <c r="E27" s="80" t="str">
        <f>_xlfn.XLOOKUP($D27,_dimVendor[Vendor Short Name],_dimVendor[Location],"")</f>
        <v/>
      </c>
      <c r="F27" s="64" t="str">
        <f t="shared" ca="1" si="0"/>
        <v/>
      </c>
      <c r="G27" s="77" t="str" cm="1">
        <f t="array" ref="G27">IF(OR(A27&lt;&gt;"",D27&lt;&gt;""),_xlfn.IFS($O27,"Missing Keys",$P27,"Duplicate Keys",TRUE, "OK"),"")</f>
        <v/>
      </c>
      <c r="H27" s="40"/>
      <c r="I27" s="41"/>
      <c r="J27" s="50"/>
      <c r="K27" s="51"/>
      <c r="L27" s="52"/>
      <c r="M27" s="52"/>
      <c r="N27" s="53"/>
      <c r="O27" s="34" t="b">
        <f t="shared" si="1"/>
        <v>1</v>
      </c>
      <c r="P27" t="b">
        <f t="shared" si="2"/>
        <v>0</v>
      </c>
      <c r="R27" s="105"/>
      <c r="S27" s="111" t="b">
        <v>0</v>
      </c>
      <c r="T27" s="112" t="b">
        <v>0</v>
      </c>
    </row>
    <row r="28" spans="1:20" ht="15">
      <c r="A28" s="68"/>
      <c r="B28" s="72" t="str">
        <f>_xlfn.XLOOKUP($A28,_dimMoldHierarchies[Component Code],_dimMoldHierarchies[Sole Type],"")</f>
        <v/>
      </c>
      <c r="C28" s="73" t="str">
        <f>_xlfn.XLOOKUP($A28,_dimMoldHierarchies[Component Code],_dimMoldHierarchies[Component Name],"")</f>
        <v/>
      </c>
      <c r="D28" s="68"/>
      <c r="E28" s="80" t="str">
        <f>_xlfn.XLOOKUP($D28,_dimVendor[Vendor Short Name],_dimVendor[Location],"")</f>
        <v/>
      </c>
      <c r="F28" s="64" t="str">
        <f t="shared" ca="1" si="0"/>
        <v/>
      </c>
      <c r="G28" s="77" t="str" cm="1">
        <f t="array" ref="G28">IF(OR(A28&lt;&gt;"",D28&lt;&gt;""),_xlfn.IFS($O28,"Missing Keys",$P28,"Duplicate Keys",TRUE, "OK"),"")</f>
        <v/>
      </c>
      <c r="H28" s="40"/>
      <c r="I28" s="41"/>
      <c r="J28" s="50"/>
      <c r="K28" s="51"/>
      <c r="L28" s="52"/>
      <c r="M28" s="52"/>
      <c r="N28" s="53"/>
      <c r="O28" s="34" t="b">
        <f t="shared" si="1"/>
        <v>1</v>
      </c>
      <c r="P28" t="b">
        <f t="shared" si="2"/>
        <v>0</v>
      </c>
      <c r="R28" s="105"/>
      <c r="S28" s="111" t="b">
        <v>0</v>
      </c>
      <c r="T28" s="112" t="b">
        <v>0</v>
      </c>
    </row>
    <row r="29" spans="1:20" ht="15">
      <c r="A29" s="68"/>
      <c r="B29" s="72" t="str">
        <f>_xlfn.XLOOKUP($A29,_dimMoldHierarchies[Component Code],_dimMoldHierarchies[Sole Type],"")</f>
        <v/>
      </c>
      <c r="C29" s="73" t="str">
        <f>_xlfn.XLOOKUP($A29,_dimMoldHierarchies[Component Code],_dimMoldHierarchies[Component Name],"")</f>
        <v/>
      </c>
      <c r="D29" s="68"/>
      <c r="E29" s="80" t="str">
        <f>_xlfn.XLOOKUP($D29,_dimVendor[Vendor Short Name],_dimVendor[Location],"")</f>
        <v/>
      </c>
      <c r="F29" s="64" t="str">
        <f t="shared" ca="1" si="0"/>
        <v/>
      </c>
      <c r="G29" s="77" t="str" cm="1">
        <f t="array" ref="G29">IF(OR(A29&lt;&gt;"",D29&lt;&gt;""),_xlfn.IFS($O29,"Missing Keys",$P29,"Duplicate Keys",TRUE, "OK"),"")</f>
        <v/>
      </c>
      <c r="H29" s="40"/>
      <c r="I29" s="41"/>
      <c r="J29" s="50"/>
      <c r="K29" s="51"/>
      <c r="L29" s="52"/>
      <c r="M29" s="52"/>
      <c r="N29" s="53"/>
      <c r="O29" s="34" t="b">
        <f t="shared" si="1"/>
        <v>1</v>
      </c>
      <c r="P29" t="b">
        <f t="shared" si="2"/>
        <v>0</v>
      </c>
      <c r="R29" s="105"/>
      <c r="S29" s="111" t="b">
        <v>0</v>
      </c>
      <c r="T29" s="112" t="b">
        <v>0</v>
      </c>
    </row>
    <row r="30" spans="1:20" ht="15">
      <c r="A30" s="68"/>
      <c r="B30" s="72" t="str">
        <f>_xlfn.XLOOKUP($A30,_dimMoldHierarchies[Component Code],_dimMoldHierarchies[Sole Type],"")</f>
        <v/>
      </c>
      <c r="C30" s="73" t="str">
        <f>_xlfn.XLOOKUP($A30,_dimMoldHierarchies[Component Code],_dimMoldHierarchies[Component Name],"")</f>
        <v/>
      </c>
      <c r="D30" s="68"/>
      <c r="E30" s="80" t="str">
        <f>_xlfn.XLOOKUP($D30,_dimVendor[Vendor Short Name],_dimVendor[Location],"")</f>
        <v/>
      </c>
      <c r="F30" s="64" t="str">
        <f t="shared" ca="1" si="0"/>
        <v/>
      </c>
      <c r="G30" s="77" t="str" cm="1">
        <f t="array" ref="G30">IF(OR(A30&lt;&gt;"",D30&lt;&gt;""),_xlfn.IFS($O30,"Missing Keys",$P30,"Duplicate Keys",TRUE, "OK"),"")</f>
        <v/>
      </c>
      <c r="H30" s="42"/>
      <c r="I30" s="43"/>
      <c r="J30" s="54"/>
      <c r="K30" s="55"/>
      <c r="L30" s="56"/>
      <c r="M30" s="56"/>
      <c r="N30" s="57"/>
      <c r="O30" s="34" t="b">
        <f t="shared" ref="O30" si="3">OR(ISBLANK(A30),ISBLANK(D30))</f>
        <v>1</v>
      </c>
      <c r="P30" t="b">
        <f t="shared" si="2"/>
        <v>0</v>
      </c>
      <c r="R30" s="105"/>
      <c r="S30" s="111" t="b">
        <v>0</v>
      </c>
      <c r="T30" s="112" t="b">
        <v>0</v>
      </c>
    </row>
    <row r="31" spans="1:20" ht="15.75" thickBot="1">
      <c r="A31" s="69"/>
      <c r="B31" s="74" t="str">
        <f>_xlfn.XLOOKUP($A31,_dimMoldHierarchies[Component Code],_dimMoldHierarchies[Sole Type],"")</f>
        <v/>
      </c>
      <c r="C31" s="75" t="str">
        <f>_xlfn.XLOOKUP($A31,_dimMoldHierarchies[Component Code],_dimMoldHierarchies[Component Name],"")</f>
        <v/>
      </c>
      <c r="D31" s="69"/>
      <c r="E31" s="81" t="str">
        <f>_xlfn.XLOOKUP($D31,_dimVendor[Vendor Short Name],_dimVendor[Location],"")</f>
        <v/>
      </c>
      <c r="F31" s="83" t="str">
        <f t="shared" ca="1" si="0"/>
        <v/>
      </c>
      <c r="G31" s="78" t="str" cm="1">
        <f t="array" ref="G31">IF(OR(A31&lt;&gt;"",D31&lt;&gt;""),_xlfn.IFS($O31,"Missing Keys",$P31,"Duplicate Keys",TRUE, "OK"),"")</f>
        <v/>
      </c>
      <c r="H31" s="44"/>
      <c r="I31" s="45"/>
      <c r="J31" s="58"/>
      <c r="K31" s="59"/>
      <c r="L31" s="60"/>
      <c r="M31" s="60"/>
      <c r="N31" s="61"/>
      <c r="O31" s="34" t="b">
        <f t="shared" si="1"/>
        <v>1</v>
      </c>
      <c r="P31" t="b">
        <f t="shared" ref="P31" si="4">COUNTIFS($B31:$B54,$B31,$D31:$D54,$D31)&gt;1</f>
        <v>0</v>
      </c>
      <c r="R31" s="106"/>
      <c r="S31" s="113" t="b">
        <v>0</v>
      </c>
      <c r="T31" s="114" t="b">
        <v>0</v>
      </c>
    </row>
  </sheetData>
  <sheetProtection selectLockedCells="1" autoFilter="0"/>
  <protectedRanges>
    <protectedRange sqref="A7:A31 D7:D31 H7:N31" name="Range1"/>
  </protectedRanges>
  <conditionalFormatting sqref="A7:G31">
    <cfRule type="expression" dxfId="5" priority="4">
      <formula>NOT(OR($G7="",$G7="OK"))</formula>
    </cfRule>
  </conditionalFormatting>
  <conditionalFormatting sqref="A10:G31">
    <cfRule type="expression" dxfId="4" priority="1">
      <formula>ISERROR($F10)</formula>
    </cfRule>
  </conditionalFormatting>
  <dataValidations count="8">
    <dataValidation type="list" allowBlank="1" showInputMessage="1" showErrorMessage="1" error="Please select from Dropdown Box_x000a_- WWW_x000a_- Vendor_x000a_- Hybrid_x000a_" prompt="Select from Dropdown Box" sqref="H7:H31" xr:uid="{CBFA96BB-350A-4E93-808E-CAE6C117F137}">
      <formula1>MoldOwnership</formula1>
    </dataValidation>
    <dataValidation type="list" allowBlank="1" showInputMessage="1" showErrorMessage="1" error="Component Code not found" prompt="Select from Dropdown Box" sqref="A7:A31" xr:uid="{1EBEEA35-090B-4574-89F8-F14A5A7B0A83}">
      <formula1>MoldComponentList</formula1>
    </dataValidation>
    <dataValidation type="list" allowBlank="1" showInputMessage="1" showErrorMessage="1" error="Vendor not in Vendor Master List" prompt="Select from Dropdown Box" sqref="D7:D31" xr:uid="{410BCE02-A2B2-4AD8-A056-AD1125F6BB43}">
      <formula1>VendorList</formula1>
    </dataValidation>
    <dataValidation allowBlank="1" showInputMessage="1" showErrorMessage="1" error="Please select from Dropdown Box_x000a_- 1. OK_x000a_- 2. Need Reassest_x000a_- 3._x000a_- 4." sqref="I7:I9" xr:uid="{6F3369DE-DFA8-44E7-BC6F-7FAD90C50884}"/>
    <dataValidation type="list" allowBlank="1" showInputMessage="1" showErrorMessage="1" error="Please select from Dropdown Box_x000a_- 1. OK_x000a_- 2. Need Assessment_x000a_- 3. Warning_x000a_- 4. Not-Usable" prompt="Select from Dropdown Box" sqref="I10:I31" xr:uid="{1453BA13-05A4-4483-928E-33D4F132B2F6}">
      <formula1>MoldCondition</formula1>
    </dataValidation>
    <dataValidation type="whole" operator="greaterThan" allowBlank="1" showInputMessage="1" showErrorMessage="1" error="Daily Output need to be Whole Number." prompt="Daily Output must be Whole Number and larger than 0" sqref="L7:L31" xr:uid="{F21B89AD-4EEF-4B42-AC37-C89BC59771FF}">
      <formula1>0</formula1>
    </dataValidation>
    <dataValidation type="decimal" operator="greaterThan" allowBlank="1" showInputMessage="1" showErrorMessage="1" error="Mold Cost must larger than 0" prompt="Mold Init Coct must &gt; 0_x000a_leave blank if Unknow" sqref="M7:M31" xr:uid="{E953E79F-B5A3-4363-8AC4-09C23B31E347}">
      <formula1>0</formula1>
    </dataValidation>
    <dataValidation type="custom" allowBlank="1" showInputMessage="1" showErrorMessage="1" errorTitle="Invalid Season Format" error="Only F or S followed by 2 digits allowed (e.g., F25, S26)" prompt="F or S + 2-digit year (e.g., F25, S26)_x000a_Leave blank if unknown" sqref="K7:K31" xr:uid="{0B565F8B-1FE4-447D-8D88-FB2A15120576}">
      <formula1>OR(   K7="",   AND(     LEN(K7)=3,     OR(LEFT(K7,1)="F",LEFT(K7,1)="S"),     ISNUMBER(VALUE(RIGHT(K7,2)))   ) 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C1AE-AFB4-4C7E-9362-E5DA6C97BF6A}">
  <dimension ref="A1:M43"/>
  <sheetViews>
    <sheetView workbookViewId="0">
      <selection activeCell="D23" sqref="D23"/>
    </sheetView>
  </sheetViews>
  <sheetFormatPr defaultRowHeight="14.25"/>
  <cols>
    <col min="1" max="1" width="19.875" bestFit="1" customWidth="1"/>
    <col min="2" max="2" width="19" customWidth="1"/>
    <col min="3" max="6" width="14.75" customWidth="1"/>
    <col min="8" max="8" width="29" customWidth="1"/>
    <col min="9" max="10" width="13.875" customWidth="1"/>
    <col min="11" max="11" width="29" customWidth="1"/>
    <col min="12" max="13" width="13.875" customWidth="1"/>
  </cols>
  <sheetData>
    <row r="1" spans="1:13" ht="18.75">
      <c r="A1" s="6" t="s">
        <v>386</v>
      </c>
      <c r="C1" s="65"/>
      <c r="D1" s="115" t="s">
        <v>403</v>
      </c>
      <c r="E1" s="62"/>
      <c r="F1" s="115" t="s">
        <v>400</v>
      </c>
    </row>
    <row r="2" spans="1:13" ht="18.75">
      <c r="A2" s="6" t="s">
        <v>412</v>
      </c>
      <c r="C2" s="67"/>
      <c r="D2" s="116" t="s">
        <v>401</v>
      </c>
      <c r="E2" s="63"/>
      <c r="F2" s="115" t="s">
        <v>399</v>
      </c>
    </row>
    <row r="3" spans="1:13" ht="18.75">
      <c r="A3" s="6" t="s">
        <v>387</v>
      </c>
    </row>
    <row r="4" spans="1:13" ht="18.75">
      <c r="A4" s="6" t="s">
        <v>388</v>
      </c>
    </row>
    <row r="5" spans="1:13" ht="18.75">
      <c r="A5" s="6" t="s">
        <v>389</v>
      </c>
    </row>
    <row r="6" spans="1:13" ht="15">
      <c r="A6" s="8"/>
      <c r="B6" s="9"/>
      <c r="C6" s="9"/>
      <c r="D6" s="9"/>
      <c r="E6" s="9"/>
      <c r="F6" s="9"/>
    </row>
    <row r="7" spans="1:13" ht="15.75" thickBot="1">
      <c r="A7" s="8" t="s">
        <v>413</v>
      </c>
      <c r="B7" s="9"/>
      <c r="C7" s="9"/>
      <c r="D7" s="9"/>
      <c r="E7" s="9"/>
      <c r="F7" s="9"/>
      <c r="H7" s="8" t="s">
        <v>414</v>
      </c>
      <c r="I7" s="9"/>
      <c r="J7" s="9"/>
      <c r="K7" s="9"/>
      <c r="L7" s="9"/>
      <c r="M7" s="9"/>
    </row>
    <row r="8" spans="1:13" ht="32.25" customHeight="1" thickBot="1">
      <c r="A8" s="13" t="s">
        <v>390</v>
      </c>
      <c r="B8" s="14" t="s">
        <v>391</v>
      </c>
      <c r="C8" s="98"/>
      <c r="D8" s="98"/>
      <c r="E8" s="98"/>
      <c r="F8" s="99"/>
      <c r="H8" s="17" t="s">
        <v>353</v>
      </c>
      <c r="I8" s="18" t="s">
        <v>392</v>
      </c>
      <c r="J8" s="19" t="s">
        <v>395</v>
      </c>
      <c r="K8" s="17" t="s">
        <v>20</v>
      </c>
      <c r="L8" s="18" t="s">
        <v>393</v>
      </c>
      <c r="M8" s="20" t="s">
        <v>396</v>
      </c>
    </row>
    <row r="9" spans="1:13" ht="15">
      <c r="A9" s="10">
        <v>1</v>
      </c>
      <c r="B9" s="89"/>
      <c r="C9" s="90"/>
      <c r="D9" s="90"/>
      <c r="E9" s="90"/>
      <c r="F9" s="91"/>
      <c r="H9" s="84"/>
      <c r="I9" s="23" t="str">
        <f>_xlfn.XLOOKUP($H9,_dimFactory[Factory Name],_dimFactory[Factory Country],"")</f>
        <v/>
      </c>
      <c r="J9" s="24" t="str">
        <f>_xlfn.XLOOKUP($H9,_dimFactory[Factory Name],_dimFactory[Factory Number],"")</f>
        <v/>
      </c>
      <c r="K9" s="84"/>
      <c r="L9" s="23" t="str">
        <f>_xlfn.XLOOKUP($K9,_dimVendor[Vendor Short Name],_dimVendor[Location],"")</f>
        <v/>
      </c>
      <c r="M9" s="24" t="str">
        <f>_xlfn.XLOOKUP($K9,_dimVendor[Vendor Short Name],_dimVendor[Vendor ID],"")</f>
        <v/>
      </c>
    </row>
    <row r="10" spans="1:13" ht="15">
      <c r="A10" s="11">
        <v>1.5</v>
      </c>
      <c r="B10" s="92"/>
      <c r="C10" s="93"/>
      <c r="D10" s="93"/>
      <c r="E10" s="93"/>
      <c r="F10" s="94"/>
      <c r="H10" s="85"/>
      <c r="I10" s="25" t="str">
        <f>_xlfn.XLOOKUP($H10,_dimFactory[Factory Name],_dimFactory[Factory Country],"")</f>
        <v/>
      </c>
      <c r="J10" s="26" t="str">
        <f>_xlfn.XLOOKUP($H10,_dimFactory[Factory Name],_dimFactory[Factory Number],"")</f>
        <v/>
      </c>
      <c r="K10" s="85"/>
      <c r="L10" s="25" t="str">
        <f>_xlfn.XLOOKUP($K10,_dimVendor[Vendor Short Name],_dimVendor[Location],"")</f>
        <v/>
      </c>
      <c r="M10" s="26" t="str">
        <f>_xlfn.XLOOKUP($K10,_dimVendor[Vendor Short Name],_dimVendor[Vendor ID],"")</f>
        <v/>
      </c>
    </row>
    <row r="11" spans="1:13" ht="15">
      <c r="A11" s="11">
        <v>2</v>
      </c>
      <c r="B11" s="92"/>
      <c r="C11" s="93"/>
      <c r="D11" s="93"/>
      <c r="E11" s="93"/>
      <c r="F11" s="94"/>
      <c r="H11" s="85"/>
      <c r="I11" s="25" t="str">
        <f>_xlfn.XLOOKUP($H11,_dimFactory[Factory Name],_dimFactory[Factory Country],"")</f>
        <v/>
      </c>
      <c r="J11" s="26" t="str">
        <f>_xlfn.XLOOKUP($H11,_dimFactory[Factory Name],_dimFactory[Factory Number],"")</f>
        <v/>
      </c>
      <c r="K11" s="85"/>
      <c r="L11" s="25" t="str">
        <f>_xlfn.XLOOKUP($K11,_dimVendor[Vendor Short Name],_dimVendor[Location],"")</f>
        <v/>
      </c>
      <c r="M11" s="26" t="str">
        <f>_xlfn.XLOOKUP($K11,_dimVendor[Vendor Short Name],_dimVendor[Vendor ID],"")</f>
        <v/>
      </c>
    </row>
    <row r="12" spans="1:13" ht="15">
      <c r="A12" s="11">
        <v>2.5</v>
      </c>
      <c r="B12" s="92"/>
      <c r="C12" s="93"/>
      <c r="D12" s="93"/>
      <c r="E12" s="93"/>
      <c r="F12" s="94"/>
      <c r="H12" s="85"/>
      <c r="I12" s="25" t="str">
        <f>_xlfn.XLOOKUP($H12,_dimFactory[Factory Name],_dimFactory[Factory Country],"")</f>
        <v/>
      </c>
      <c r="J12" s="26" t="str">
        <f>_xlfn.XLOOKUP($H12,_dimFactory[Factory Name],_dimFactory[Factory Number],"")</f>
        <v/>
      </c>
      <c r="K12" s="85"/>
      <c r="L12" s="25" t="str">
        <f>_xlfn.XLOOKUP($K12,_dimVendor[Vendor Short Name],_dimVendor[Location],"")</f>
        <v/>
      </c>
      <c r="M12" s="26" t="str">
        <f>_xlfn.XLOOKUP($K12,_dimVendor[Vendor Short Name],_dimVendor[Vendor ID],"")</f>
        <v/>
      </c>
    </row>
    <row r="13" spans="1:13" ht="15">
      <c r="A13" s="11">
        <f>A12+0.5</f>
        <v>3</v>
      </c>
      <c r="B13" s="92"/>
      <c r="C13" s="93"/>
      <c r="D13" s="93"/>
      <c r="E13" s="93"/>
      <c r="F13" s="94"/>
      <c r="H13" s="85"/>
      <c r="I13" s="25" t="str">
        <f>_xlfn.XLOOKUP($H13,_dimFactory[Factory Name],_dimFactory[Factory Country],"")</f>
        <v/>
      </c>
      <c r="J13" s="26" t="str">
        <f>_xlfn.XLOOKUP($H13,_dimFactory[Factory Name],_dimFactory[Factory Number],"")</f>
        <v/>
      </c>
      <c r="K13" s="85"/>
      <c r="L13" s="25" t="str">
        <f>_xlfn.XLOOKUP($K13,_dimVendor[Vendor Short Name],_dimVendor[Location],"")</f>
        <v/>
      </c>
      <c r="M13" s="26" t="str">
        <f>_xlfn.XLOOKUP($K13,_dimVendor[Vendor Short Name],_dimVendor[Vendor ID],"")</f>
        <v/>
      </c>
    </row>
    <row r="14" spans="1:13" ht="15">
      <c r="A14" s="11">
        <f t="shared" ref="A14:A43" si="0">A13+0.5</f>
        <v>3.5</v>
      </c>
      <c r="B14" s="92"/>
      <c r="C14" s="93"/>
      <c r="D14" s="93"/>
      <c r="E14" s="93"/>
      <c r="F14" s="94"/>
      <c r="H14" s="85"/>
      <c r="I14" s="25" t="str">
        <f>_xlfn.XLOOKUP($H14,_dimFactory[Factory Name],_dimFactory[Factory Country],"")</f>
        <v/>
      </c>
      <c r="J14" s="26" t="str">
        <f>_xlfn.XLOOKUP($H14,_dimFactory[Factory Name],_dimFactory[Factory Number],"")</f>
        <v/>
      </c>
      <c r="K14" s="85"/>
      <c r="L14" s="25" t="str">
        <f>_xlfn.XLOOKUP($K14,_dimVendor[Vendor Short Name],_dimVendor[Location],"")</f>
        <v/>
      </c>
      <c r="M14" s="26" t="str">
        <f>_xlfn.XLOOKUP($K14,_dimVendor[Vendor Short Name],_dimVendor[Vendor ID],"")</f>
        <v/>
      </c>
    </row>
    <row r="15" spans="1:13" ht="15">
      <c r="A15" s="11">
        <f t="shared" si="0"/>
        <v>4</v>
      </c>
      <c r="B15" s="92"/>
      <c r="C15" s="93"/>
      <c r="D15" s="93"/>
      <c r="E15" s="93"/>
      <c r="F15" s="94"/>
      <c r="H15" s="85"/>
      <c r="I15" s="25" t="str">
        <f>_xlfn.XLOOKUP($H15,_dimFactory[Factory Name],_dimFactory[Factory Country],"")</f>
        <v/>
      </c>
      <c r="J15" s="26" t="str">
        <f>_xlfn.XLOOKUP($H15,_dimFactory[Factory Name],_dimFactory[Factory Number],"")</f>
        <v/>
      </c>
      <c r="K15" s="85"/>
      <c r="L15" s="25" t="str">
        <f>_xlfn.XLOOKUP($K15,_dimVendor[Vendor Short Name],_dimVendor[Location],"")</f>
        <v/>
      </c>
      <c r="M15" s="26" t="str">
        <f>_xlfn.XLOOKUP($K15,_dimVendor[Vendor Short Name],_dimVendor[Vendor ID],"")</f>
        <v/>
      </c>
    </row>
    <row r="16" spans="1:13" ht="15">
      <c r="A16" s="11">
        <f t="shared" si="0"/>
        <v>4.5</v>
      </c>
      <c r="B16" s="92"/>
      <c r="C16" s="93"/>
      <c r="D16" s="93"/>
      <c r="E16" s="93"/>
      <c r="F16" s="94"/>
      <c r="H16" s="85"/>
      <c r="I16" s="25" t="str">
        <f>_xlfn.XLOOKUP($H16,_dimFactory[Factory Name],_dimFactory[Factory Country],"")</f>
        <v/>
      </c>
      <c r="J16" s="26" t="str">
        <f>_xlfn.XLOOKUP($H16,_dimFactory[Factory Name],_dimFactory[Factory Number],"")</f>
        <v/>
      </c>
      <c r="K16" s="85"/>
      <c r="L16" s="25" t="str">
        <f>_xlfn.XLOOKUP($K16,_dimVendor[Vendor Short Name],_dimVendor[Location],"")</f>
        <v/>
      </c>
      <c r="M16" s="26" t="str">
        <f>_xlfn.XLOOKUP($K16,_dimVendor[Vendor Short Name],_dimVendor[Vendor ID],"")</f>
        <v/>
      </c>
    </row>
    <row r="17" spans="1:13" ht="15">
      <c r="A17" s="11">
        <f t="shared" si="0"/>
        <v>5</v>
      </c>
      <c r="B17" s="92"/>
      <c r="C17" s="93"/>
      <c r="D17" s="93"/>
      <c r="E17" s="93"/>
      <c r="F17" s="94"/>
      <c r="H17" s="85"/>
      <c r="I17" s="25" t="str">
        <f>_xlfn.XLOOKUP($H17,_dimFactory[Factory Name],_dimFactory[Factory Country],"")</f>
        <v/>
      </c>
      <c r="J17" s="26" t="str">
        <f>_xlfn.XLOOKUP($H17,_dimFactory[Factory Name],_dimFactory[Factory Number],"")</f>
        <v/>
      </c>
      <c r="K17" s="85"/>
      <c r="L17" s="25" t="str">
        <f>_xlfn.XLOOKUP($K17,_dimVendor[Vendor Short Name],_dimVendor[Location],"")</f>
        <v/>
      </c>
      <c r="M17" s="26" t="str">
        <f>_xlfn.XLOOKUP($K17,_dimVendor[Vendor Short Name],_dimVendor[Vendor ID],"")</f>
        <v/>
      </c>
    </row>
    <row r="18" spans="1:13" ht="15">
      <c r="A18" s="11">
        <f t="shared" si="0"/>
        <v>5.5</v>
      </c>
      <c r="B18" s="92"/>
      <c r="C18" s="93"/>
      <c r="D18" s="93"/>
      <c r="E18" s="93"/>
      <c r="F18" s="94"/>
      <c r="H18" s="85"/>
      <c r="I18" s="25" t="str">
        <f>_xlfn.XLOOKUP($H18,_dimFactory[Factory Name],_dimFactory[Factory Country],"")</f>
        <v/>
      </c>
      <c r="J18" s="26" t="str">
        <f>_xlfn.XLOOKUP($H18,_dimFactory[Factory Name],_dimFactory[Factory Number],"")</f>
        <v/>
      </c>
      <c r="K18" s="85"/>
      <c r="L18" s="25" t="str">
        <f>_xlfn.XLOOKUP($K18,_dimVendor[Vendor Short Name],_dimVendor[Location],"")</f>
        <v/>
      </c>
      <c r="M18" s="26" t="str">
        <f>_xlfn.XLOOKUP($K18,_dimVendor[Vendor Short Name],_dimVendor[Vendor ID],"")</f>
        <v/>
      </c>
    </row>
    <row r="19" spans="1:13" ht="15">
      <c r="A19" s="11">
        <f t="shared" si="0"/>
        <v>6</v>
      </c>
      <c r="B19" s="92"/>
      <c r="C19" s="93"/>
      <c r="D19" s="93"/>
      <c r="E19" s="93"/>
      <c r="F19" s="94"/>
      <c r="H19" s="85"/>
      <c r="I19" s="25" t="str">
        <f>_xlfn.XLOOKUP($H19,_dimFactory[Factory Name],_dimFactory[Factory Country],"")</f>
        <v/>
      </c>
      <c r="J19" s="26" t="str">
        <f>_xlfn.XLOOKUP($H19,_dimFactory[Factory Name],_dimFactory[Factory Number],"")</f>
        <v/>
      </c>
      <c r="K19" s="85"/>
      <c r="L19" s="25" t="str">
        <f>_xlfn.XLOOKUP($K19,_dimVendor[Vendor Short Name],_dimVendor[Location],"")</f>
        <v/>
      </c>
      <c r="M19" s="26" t="str">
        <f>_xlfn.XLOOKUP($K19,_dimVendor[Vendor Short Name],_dimVendor[Vendor ID],"")</f>
        <v/>
      </c>
    </row>
    <row r="20" spans="1:13" ht="15">
      <c r="A20" s="11">
        <f t="shared" si="0"/>
        <v>6.5</v>
      </c>
      <c r="B20" s="92"/>
      <c r="C20" s="93"/>
      <c r="D20" s="93"/>
      <c r="E20" s="93"/>
      <c r="F20" s="94"/>
      <c r="H20" s="85"/>
      <c r="I20" s="25" t="str">
        <f>_xlfn.XLOOKUP($H20,_dimFactory[Factory Name],_dimFactory[Factory Country],"")</f>
        <v/>
      </c>
      <c r="J20" s="26" t="str">
        <f>_xlfn.XLOOKUP($H20,_dimFactory[Factory Name],_dimFactory[Factory Number],"")</f>
        <v/>
      </c>
      <c r="K20" s="85"/>
      <c r="L20" s="25" t="str">
        <f>_xlfn.XLOOKUP($K20,_dimVendor[Vendor Short Name],_dimVendor[Location],"")</f>
        <v/>
      </c>
      <c r="M20" s="26" t="str">
        <f>_xlfn.XLOOKUP($K20,_dimVendor[Vendor Short Name],_dimVendor[Vendor ID],"")</f>
        <v/>
      </c>
    </row>
    <row r="21" spans="1:13" ht="15">
      <c r="A21" s="11">
        <f t="shared" si="0"/>
        <v>7</v>
      </c>
      <c r="B21" s="92"/>
      <c r="C21" s="93"/>
      <c r="D21" s="93"/>
      <c r="E21" s="93"/>
      <c r="F21" s="94"/>
      <c r="H21" s="85"/>
      <c r="I21" s="25" t="str">
        <f>_xlfn.XLOOKUP($H21,_dimFactory[Factory Name],_dimFactory[Factory Country],"")</f>
        <v/>
      </c>
      <c r="J21" s="26" t="str">
        <f>_xlfn.XLOOKUP($H21,_dimFactory[Factory Name],_dimFactory[Factory Number],"")</f>
        <v/>
      </c>
      <c r="K21" s="85"/>
      <c r="L21" s="25" t="str">
        <f>_xlfn.XLOOKUP($K21,_dimVendor[Vendor Short Name],_dimVendor[Location],"")</f>
        <v/>
      </c>
      <c r="M21" s="26" t="str">
        <f>_xlfn.XLOOKUP($K21,_dimVendor[Vendor Short Name],_dimVendor[Vendor ID],"")</f>
        <v/>
      </c>
    </row>
    <row r="22" spans="1:13" ht="15">
      <c r="A22" s="11">
        <f t="shared" si="0"/>
        <v>7.5</v>
      </c>
      <c r="B22" s="92"/>
      <c r="C22" s="93"/>
      <c r="D22" s="93"/>
      <c r="E22" s="93"/>
      <c r="F22" s="94"/>
      <c r="H22" s="85"/>
      <c r="I22" s="25" t="str">
        <f>_xlfn.XLOOKUP($H22,_dimFactory[Factory Name],_dimFactory[Factory Country],"")</f>
        <v/>
      </c>
      <c r="J22" s="26" t="str">
        <f>_xlfn.XLOOKUP($H22,_dimFactory[Factory Name],_dimFactory[Factory Number],"")</f>
        <v/>
      </c>
      <c r="K22" s="85"/>
      <c r="L22" s="25" t="str">
        <f>_xlfn.XLOOKUP($K22,_dimVendor[Vendor Short Name],_dimVendor[Location],"")</f>
        <v/>
      </c>
      <c r="M22" s="26" t="str">
        <f>_xlfn.XLOOKUP($K22,_dimVendor[Vendor Short Name],_dimVendor[Vendor ID],"")</f>
        <v/>
      </c>
    </row>
    <row r="23" spans="1:13" ht="15">
      <c r="A23" s="11">
        <f t="shared" si="0"/>
        <v>8</v>
      </c>
      <c r="B23" s="92"/>
      <c r="C23" s="93"/>
      <c r="D23" s="93"/>
      <c r="E23" s="93"/>
      <c r="F23" s="94"/>
      <c r="H23" s="85"/>
      <c r="I23" s="25" t="str">
        <f>_xlfn.XLOOKUP($H23,_dimFactory[Factory Name],_dimFactory[Factory Country],"")</f>
        <v/>
      </c>
      <c r="J23" s="26" t="str">
        <f>_xlfn.XLOOKUP($H23,_dimFactory[Factory Name],_dimFactory[Factory Number],"")</f>
        <v/>
      </c>
      <c r="K23" s="85"/>
      <c r="L23" s="25" t="str">
        <f>_xlfn.XLOOKUP($K23,_dimVendor[Vendor Short Name],_dimVendor[Location],"")</f>
        <v/>
      </c>
      <c r="M23" s="26" t="str">
        <f>_xlfn.XLOOKUP($K23,_dimVendor[Vendor Short Name],_dimVendor[Vendor ID],"")</f>
        <v/>
      </c>
    </row>
    <row r="24" spans="1:13" ht="15">
      <c r="A24" s="11">
        <f t="shared" si="0"/>
        <v>8.5</v>
      </c>
      <c r="B24" s="92"/>
      <c r="C24" s="93"/>
      <c r="D24" s="93"/>
      <c r="E24" s="93"/>
      <c r="F24" s="94"/>
      <c r="H24" s="85"/>
      <c r="I24" s="25" t="str">
        <f>_xlfn.XLOOKUP($H24,_dimFactory[Factory Name],_dimFactory[Factory Country],"")</f>
        <v/>
      </c>
      <c r="J24" s="26" t="str">
        <f>_xlfn.XLOOKUP($H24,_dimFactory[Factory Name],_dimFactory[Factory Number],"")</f>
        <v/>
      </c>
      <c r="K24" s="85"/>
      <c r="L24" s="25" t="str">
        <f>_xlfn.XLOOKUP($K24,_dimVendor[Vendor Short Name],_dimVendor[Location],"")</f>
        <v/>
      </c>
      <c r="M24" s="26" t="str">
        <f>_xlfn.XLOOKUP($K24,_dimVendor[Vendor Short Name],_dimVendor[Vendor ID],"")</f>
        <v/>
      </c>
    </row>
    <row r="25" spans="1:13" ht="15">
      <c r="A25" s="11">
        <f t="shared" si="0"/>
        <v>9</v>
      </c>
      <c r="B25" s="92"/>
      <c r="C25" s="93"/>
      <c r="D25" s="93"/>
      <c r="E25" s="93"/>
      <c r="F25" s="94"/>
      <c r="H25" s="85"/>
      <c r="I25" s="25" t="str">
        <f>_xlfn.XLOOKUP($H25,_dimFactory[Factory Name],_dimFactory[Factory Country],"")</f>
        <v/>
      </c>
      <c r="J25" s="26" t="str">
        <f>_xlfn.XLOOKUP($H25,_dimFactory[Factory Name],_dimFactory[Factory Number],"")</f>
        <v/>
      </c>
      <c r="K25" s="85"/>
      <c r="L25" s="25" t="str">
        <f>_xlfn.XLOOKUP($K25,_dimVendor[Vendor Short Name],_dimVendor[Location],"")</f>
        <v/>
      </c>
      <c r="M25" s="26" t="str">
        <f>_xlfn.XLOOKUP($K25,_dimVendor[Vendor Short Name],_dimVendor[Vendor ID],"")</f>
        <v/>
      </c>
    </row>
    <row r="26" spans="1:13" ht="15">
      <c r="A26" s="11">
        <f t="shared" si="0"/>
        <v>9.5</v>
      </c>
      <c r="B26" s="92"/>
      <c r="C26" s="93"/>
      <c r="D26" s="93"/>
      <c r="E26" s="93"/>
      <c r="F26" s="94"/>
      <c r="H26" s="85"/>
      <c r="I26" s="25" t="str">
        <f>_xlfn.XLOOKUP($H26,_dimFactory[Factory Name],_dimFactory[Factory Country],"")</f>
        <v/>
      </c>
      <c r="J26" s="26" t="str">
        <f>_xlfn.XLOOKUP($H26,_dimFactory[Factory Name],_dimFactory[Factory Number],"")</f>
        <v/>
      </c>
      <c r="K26" s="85"/>
      <c r="L26" s="25" t="str">
        <f>_xlfn.XLOOKUP($K26,_dimVendor[Vendor Short Name],_dimVendor[Location],"")</f>
        <v/>
      </c>
      <c r="M26" s="26" t="str">
        <f>_xlfn.XLOOKUP($K26,_dimVendor[Vendor Short Name],_dimVendor[Vendor ID],"")</f>
        <v/>
      </c>
    </row>
    <row r="27" spans="1:13" ht="15">
      <c r="A27" s="11">
        <f t="shared" si="0"/>
        <v>10</v>
      </c>
      <c r="B27" s="92"/>
      <c r="C27" s="93"/>
      <c r="D27" s="93"/>
      <c r="E27" s="93"/>
      <c r="F27" s="94"/>
      <c r="H27" s="85"/>
      <c r="I27" s="25" t="str">
        <f>_xlfn.XLOOKUP($H27,_dimFactory[Factory Name],_dimFactory[Factory Country],"")</f>
        <v/>
      </c>
      <c r="J27" s="26" t="str">
        <f>_xlfn.XLOOKUP($H27,_dimFactory[Factory Name],_dimFactory[Factory Number],"")</f>
        <v/>
      </c>
      <c r="K27" s="85"/>
      <c r="L27" s="25" t="str">
        <f>_xlfn.XLOOKUP($K27,_dimVendor[Vendor Short Name],_dimVendor[Location],"")</f>
        <v/>
      </c>
      <c r="M27" s="26" t="str">
        <f>_xlfn.XLOOKUP($K27,_dimVendor[Vendor Short Name],_dimVendor[Vendor ID],"")</f>
        <v/>
      </c>
    </row>
    <row r="28" spans="1:13" ht="15">
      <c r="A28" s="11">
        <f t="shared" si="0"/>
        <v>10.5</v>
      </c>
      <c r="B28" s="92"/>
      <c r="C28" s="93"/>
      <c r="D28" s="93"/>
      <c r="E28" s="93"/>
      <c r="F28" s="94"/>
      <c r="H28" s="85"/>
      <c r="I28" s="25" t="str">
        <f>_xlfn.XLOOKUP($H28,_dimFactory[Factory Name],_dimFactory[Factory Country],"")</f>
        <v/>
      </c>
      <c r="J28" s="26" t="str">
        <f>_xlfn.XLOOKUP($H28,_dimFactory[Factory Name],_dimFactory[Factory Number],"")</f>
        <v/>
      </c>
      <c r="K28" s="85"/>
      <c r="L28" s="25" t="str">
        <f>_xlfn.XLOOKUP($K28,_dimVendor[Vendor Short Name],_dimVendor[Location],"")</f>
        <v/>
      </c>
      <c r="M28" s="26" t="str">
        <f>_xlfn.XLOOKUP($K28,_dimVendor[Vendor Short Name],_dimVendor[Vendor ID],"")</f>
        <v/>
      </c>
    </row>
    <row r="29" spans="1:13" ht="15">
      <c r="A29" s="11">
        <f t="shared" si="0"/>
        <v>11</v>
      </c>
      <c r="B29" s="92"/>
      <c r="C29" s="93"/>
      <c r="D29" s="93"/>
      <c r="E29" s="93"/>
      <c r="F29" s="94"/>
      <c r="H29" s="85"/>
      <c r="I29" s="25" t="str">
        <f>_xlfn.XLOOKUP($H29,_dimFactory[Factory Name],_dimFactory[Factory Country],"")</f>
        <v/>
      </c>
      <c r="J29" s="26" t="str">
        <f>_xlfn.XLOOKUP($H29,_dimFactory[Factory Name],_dimFactory[Factory Number],"")</f>
        <v/>
      </c>
      <c r="K29" s="85"/>
      <c r="L29" s="25" t="str">
        <f>_xlfn.XLOOKUP($K29,_dimVendor[Vendor Short Name],_dimVendor[Location],"")</f>
        <v/>
      </c>
      <c r="M29" s="26" t="str">
        <f>_xlfn.XLOOKUP($K29,_dimVendor[Vendor Short Name],_dimVendor[Vendor ID],"")</f>
        <v/>
      </c>
    </row>
    <row r="30" spans="1:13" ht="15">
      <c r="A30" s="11">
        <f t="shared" si="0"/>
        <v>11.5</v>
      </c>
      <c r="B30" s="92"/>
      <c r="C30" s="93"/>
      <c r="D30" s="93"/>
      <c r="E30" s="93"/>
      <c r="F30" s="94"/>
      <c r="H30" s="85"/>
      <c r="I30" s="25" t="str">
        <f>_xlfn.XLOOKUP($H30,_dimFactory[Factory Name],_dimFactory[Factory Country],"")</f>
        <v/>
      </c>
      <c r="J30" s="26" t="str">
        <f>_xlfn.XLOOKUP($H30,_dimFactory[Factory Name],_dimFactory[Factory Number],"")</f>
        <v/>
      </c>
      <c r="K30" s="85"/>
      <c r="L30" s="25" t="str">
        <f>_xlfn.XLOOKUP($K30,_dimVendor[Vendor Short Name],_dimVendor[Location],"")</f>
        <v/>
      </c>
      <c r="M30" s="26" t="str">
        <f>_xlfn.XLOOKUP($K30,_dimVendor[Vendor Short Name],_dimVendor[Vendor ID],"")</f>
        <v/>
      </c>
    </row>
    <row r="31" spans="1:13" ht="15">
      <c r="A31" s="11">
        <f>A30+0.5</f>
        <v>12</v>
      </c>
      <c r="B31" s="92"/>
      <c r="C31" s="93"/>
      <c r="D31" s="93"/>
      <c r="E31" s="93"/>
      <c r="F31" s="94"/>
      <c r="H31" s="85"/>
      <c r="I31" s="25" t="str">
        <f>_xlfn.XLOOKUP($H31,_dimFactory[Factory Name],_dimFactory[Factory Country],"")</f>
        <v/>
      </c>
      <c r="J31" s="26" t="str">
        <f>_xlfn.XLOOKUP($H31,_dimFactory[Factory Name],_dimFactory[Factory Number],"")</f>
        <v/>
      </c>
      <c r="K31" s="85"/>
      <c r="L31" s="25" t="str">
        <f>_xlfn.XLOOKUP($K31,_dimVendor[Vendor Short Name],_dimVendor[Location],"")</f>
        <v/>
      </c>
      <c r="M31" s="26" t="str">
        <f>_xlfn.XLOOKUP($K31,_dimVendor[Vendor Short Name],_dimVendor[Vendor ID],"")</f>
        <v/>
      </c>
    </row>
    <row r="32" spans="1:13" ht="15">
      <c r="A32" s="11">
        <f t="shared" si="0"/>
        <v>12.5</v>
      </c>
      <c r="B32" s="92"/>
      <c r="C32" s="93"/>
      <c r="D32" s="93"/>
      <c r="E32" s="93"/>
      <c r="F32" s="94"/>
      <c r="H32" s="85"/>
      <c r="I32" s="25" t="str">
        <f>_xlfn.XLOOKUP($H32,_dimFactory[Factory Name],_dimFactory[Factory Country],"")</f>
        <v/>
      </c>
      <c r="J32" s="26" t="str">
        <f>_xlfn.XLOOKUP($H32,_dimFactory[Factory Name],_dimFactory[Factory Number],"")</f>
        <v/>
      </c>
      <c r="K32" s="85"/>
      <c r="L32" s="25" t="str">
        <f>_xlfn.XLOOKUP($K32,_dimVendor[Vendor Short Name],_dimVendor[Location],"")</f>
        <v/>
      </c>
      <c r="M32" s="26" t="str">
        <f>_xlfn.XLOOKUP($K32,_dimVendor[Vendor Short Name],_dimVendor[Vendor ID],"")</f>
        <v/>
      </c>
    </row>
    <row r="33" spans="1:13" ht="15">
      <c r="A33" s="11">
        <f t="shared" si="0"/>
        <v>13</v>
      </c>
      <c r="B33" s="92"/>
      <c r="C33" s="93"/>
      <c r="D33" s="93"/>
      <c r="E33" s="93"/>
      <c r="F33" s="94"/>
      <c r="H33" s="85"/>
      <c r="I33" s="25" t="str">
        <f>_xlfn.XLOOKUP($H33,_dimFactory[Factory Name],_dimFactory[Factory Country],"")</f>
        <v/>
      </c>
      <c r="J33" s="26" t="str">
        <f>_xlfn.XLOOKUP($H33,_dimFactory[Factory Name],_dimFactory[Factory Number],"")</f>
        <v/>
      </c>
      <c r="K33" s="85"/>
      <c r="L33" s="25" t="str">
        <f>_xlfn.XLOOKUP($K33,_dimVendor[Vendor Short Name],_dimVendor[Location],"")</f>
        <v/>
      </c>
      <c r="M33" s="26" t="str">
        <f>_xlfn.XLOOKUP($K33,_dimVendor[Vendor Short Name],_dimVendor[Vendor ID],"")</f>
        <v/>
      </c>
    </row>
    <row r="34" spans="1:13" ht="15">
      <c r="A34" s="11">
        <f t="shared" si="0"/>
        <v>13.5</v>
      </c>
      <c r="B34" s="92"/>
      <c r="C34" s="93"/>
      <c r="D34" s="93"/>
      <c r="E34" s="93"/>
      <c r="F34" s="94"/>
      <c r="H34" s="85"/>
      <c r="I34" s="25" t="str">
        <f>_xlfn.XLOOKUP($H34,_dimFactory[Factory Name],_dimFactory[Factory Country],"")</f>
        <v/>
      </c>
      <c r="J34" s="26" t="str">
        <f>_xlfn.XLOOKUP($H34,_dimFactory[Factory Name],_dimFactory[Factory Number],"")</f>
        <v/>
      </c>
      <c r="K34" s="85"/>
      <c r="L34" s="25" t="str">
        <f>_xlfn.XLOOKUP($K34,_dimVendor[Vendor Short Name],_dimVendor[Location],"")</f>
        <v/>
      </c>
      <c r="M34" s="26" t="str">
        <f>_xlfn.XLOOKUP($K34,_dimVendor[Vendor Short Name],_dimVendor[Vendor ID],"")</f>
        <v/>
      </c>
    </row>
    <row r="35" spans="1:13" ht="15">
      <c r="A35" s="11">
        <f t="shared" si="0"/>
        <v>14</v>
      </c>
      <c r="B35" s="92"/>
      <c r="C35" s="93"/>
      <c r="D35" s="93"/>
      <c r="E35" s="93"/>
      <c r="F35" s="94"/>
      <c r="H35" s="85"/>
      <c r="I35" s="25" t="str">
        <f>_xlfn.XLOOKUP($H35,_dimFactory[Factory Name],_dimFactory[Factory Country],"")</f>
        <v/>
      </c>
      <c r="J35" s="26" t="str">
        <f>_xlfn.XLOOKUP($H35,_dimFactory[Factory Name],_dimFactory[Factory Number],"")</f>
        <v/>
      </c>
      <c r="K35" s="85"/>
      <c r="L35" s="25" t="str">
        <f>_xlfn.XLOOKUP($K35,_dimVendor[Vendor Short Name],_dimVendor[Location],"")</f>
        <v/>
      </c>
      <c r="M35" s="26" t="str">
        <f>_xlfn.XLOOKUP($K35,_dimVendor[Vendor Short Name],_dimVendor[Vendor ID],"")</f>
        <v/>
      </c>
    </row>
    <row r="36" spans="1:13" ht="15">
      <c r="A36" s="11">
        <f t="shared" si="0"/>
        <v>14.5</v>
      </c>
      <c r="B36" s="92"/>
      <c r="C36" s="93"/>
      <c r="D36" s="93"/>
      <c r="E36" s="93"/>
      <c r="F36" s="94"/>
      <c r="H36" s="85"/>
      <c r="I36" s="25" t="str">
        <f>_xlfn.XLOOKUP($H36,_dimFactory[Factory Name],_dimFactory[Factory Country],"")</f>
        <v/>
      </c>
      <c r="J36" s="26" t="str">
        <f>_xlfn.XLOOKUP($H36,_dimFactory[Factory Name],_dimFactory[Factory Number],"")</f>
        <v/>
      </c>
      <c r="K36" s="85"/>
      <c r="L36" s="25" t="str">
        <f>_xlfn.XLOOKUP($K36,_dimVendor[Vendor Short Name],_dimVendor[Location],"")</f>
        <v/>
      </c>
      <c r="M36" s="26" t="str">
        <f>_xlfn.XLOOKUP($K36,_dimVendor[Vendor Short Name],_dimVendor[Vendor ID],"")</f>
        <v/>
      </c>
    </row>
    <row r="37" spans="1:13" ht="15">
      <c r="A37" s="11">
        <f t="shared" si="0"/>
        <v>15</v>
      </c>
      <c r="B37" s="92"/>
      <c r="C37" s="93"/>
      <c r="D37" s="93"/>
      <c r="E37" s="93"/>
      <c r="F37" s="94"/>
      <c r="H37" s="85"/>
      <c r="I37" s="25" t="str">
        <f>_xlfn.XLOOKUP($H37,_dimFactory[Factory Name],_dimFactory[Factory Country],"")</f>
        <v/>
      </c>
      <c r="J37" s="26" t="str">
        <f>_xlfn.XLOOKUP($H37,_dimFactory[Factory Name],_dimFactory[Factory Number],"")</f>
        <v/>
      </c>
      <c r="K37" s="85"/>
      <c r="L37" s="25" t="str">
        <f>_xlfn.XLOOKUP($K37,_dimVendor[Vendor Short Name],_dimVendor[Location],"")</f>
        <v/>
      </c>
      <c r="M37" s="26" t="str">
        <f>_xlfn.XLOOKUP($K37,_dimVendor[Vendor Short Name],_dimVendor[Vendor ID],"")</f>
        <v/>
      </c>
    </row>
    <row r="38" spans="1:13" ht="15">
      <c r="A38" s="11">
        <f t="shared" si="0"/>
        <v>15.5</v>
      </c>
      <c r="B38" s="92"/>
      <c r="C38" s="93"/>
      <c r="D38" s="93"/>
      <c r="E38" s="93"/>
      <c r="F38" s="94"/>
      <c r="H38" s="85"/>
      <c r="I38" s="25" t="str">
        <f>_xlfn.XLOOKUP($H38,_dimFactory[Factory Name],_dimFactory[Factory Country],"")</f>
        <v/>
      </c>
      <c r="J38" s="26" t="str">
        <f>_xlfn.XLOOKUP($H38,_dimFactory[Factory Name],_dimFactory[Factory Number],"")</f>
        <v/>
      </c>
      <c r="K38" s="85"/>
      <c r="L38" s="25" t="str">
        <f>_xlfn.XLOOKUP($K38,_dimVendor[Vendor Short Name],_dimVendor[Location],"")</f>
        <v/>
      </c>
      <c r="M38" s="26" t="str">
        <f>_xlfn.XLOOKUP($K38,_dimVendor[Vendor Short Name],_dimVendor[Vendor ID],"")</f>
        <v/>
      </c>
    </row>
    <row r="39" spans="1:13" ht="15">
      <c r="A39" s="11">
        <f t="shared" si="0"/>
        <v>16</v>
      </c>
      <c r="B39" s="92"/>
      <c r="C39" s="93"/>
      <c r="D39" s="93"/>
      <c r="E39" s="93"/>
      <c r="F39" s="94"/>
      <c r="H39" s="85"/>
      <c r="I39" s="25" t="str">
        <f>_xlfn.XLOOKUP($H39,_dimFactory[Factory Name],_dimFactory[Factory Country],"")</f>
        <v/>
      </c>
      <c r="J39" s="26" t="str">
        <f>_xlfn.XLOOKUP($H39,_dimFactory[Factory Name],_dimFactory[Factory Number],"")</f>
        <v/>
      </c>
      <c r="K39" s="85"/>
      <c r="L39" s="25" t="str">
        <f>_xlfn.XLOOKUP($K39,_dimVendor[Vendor Short Name],_dimVendor[Location],"")</f>
        <v/>
      </c>
      <c r="M39" s="26" t="str">
        <f>_xlfn.XLOOKUP($K39,_dimVendor[Vendor Short Name],_dimVendor[Vendor ID],"")</f>
        <v/>
      </c>
    </row>
    <row r="40" spans="1:13" ht="15">
      <c r="A40" s="11">
        <f t="shared" si="0"/>
        <v>16.5</v>
      </c>
      <c r="B40" s="92"/>
      <c r="C40" s="93"/>
      <c r="D40" s="93"/>
      <c r="E40" s="93"/>
      <c r="F40" s="94"/>
      <c r="H40" s="85"/>
      <c r="I40" s="25" t="str">
        <f>_xlfn.XLOOKUP($H40,_dimFactory[Factory Name],_dimFactory[Factory Country],"")</f>
        <v/>
      </c>
      <c r="J40" s="26" t="str">
        <f>_xlfn.XLOOKUP($H40,_dimFactory[Factory Name],_dimFactory[Factory Number],"")</f>
        <v/>
      </c>
      <c r="K40" s="85"/>
      <c r="L40" s="25" t="str">
        <f>_xlfn.XLOOKUP($K40,_dimVendor[Vendor Short Name],_dimVendor[Location],"")</f>
        <v/>
      </c>
      <c r="M40" s="26" t="str">
        <f>_xlfn.XLOOKUP($K40,_dimVendor[Vendor Short Name],_dimVendor[Vendor ID],"")</f>
        <v/>
      </c>
    </row>
    <row r="41" spans="1:13" ht="15">
      <c r="A41" s="11">
        <f>A40+0.5</f>
        <v>17</v>
      </c>
      <c r="B41" s="92"/>
      <c r="C41" s="93"/>
      <c r="D41" s="93"/>
      <c r="E41" s="93"/>
      <c r="F41" s="94"/>
      <c r="H41" s="85"/>
      <c r="I41" s="25" t="str">
        <f>_xlfn.XLOOKUP($H41,_dimFactory[Factory Name],_dimFactory[Factory Country],"")</f>
        <v/>
      </c>
      <c r="J41" s="26" t="str">
        <f>_xlfn.XLOOKUP($H41,_dimFactory[Factory Name],_dimFactory[Factory Number],"")</f>
        <v/>
      </c>
      <c r="K41" s="85"/>
      <c r="L41" s="25" t="str">
        <f>_xlfn.XLOOKUP($K41,_dimVendor[Vendor Short Name],_dimVendor[Location],"")</f>
        <v/>
      </c>
      <c r="M41" s="26" t="str">
        <f>_xlfn.XLOOKUP($K41,_dimVendor[Vendor Short Name],_dimVendor[Vendor ID],"")</f>
        <v/>
      </c>
    </row>
    <row r="42" spans="1:13" ht="15">
      <c r="A42" s="11">
        <f t="shared" si="0"/>
        <v>17.5</v>
      </c>
      <c r="B42" s="92"/>
      <c r="C42" s="93"/>
      <c r="D42" s="93"/>
      <c r="E42" s="93"/>
      <c r="F42" s="94"/>
      <c r="H42" s="85"/>
      <c r="I42" s="25" t="str">
        <f>_xlfn.XLOOKUP($H42,_dimFactory[Factory Name],_dimFactory[Factory Country],"")</f>
        <v/>
      </c>
      <c r="J42" s="26" t="str">
        <f>_xlfn.XLOOKUP($H42,_dimFactory[Factory Name],_dimFactory[Factory Number],"")</f>
        <v/>
      </c>
      <c r="K42" s="85"/>
      <c r="L42" s="25" t="str">
        <f>_xlfn.XLOOKUP($K42,_dimVendor[Vendor Short Name],_dimVendor[Location],"")</f>
        <v/>
      </c>
      <c r="M42" s="26" t="str">
        <f>_xlfn.XLOOKUP($K42,_dimVendor[Vendor Short Name],_dimVendor[Vendor ID],"")</f>
        <v/>
      </c>
    </row>
    <row r="43" spans="1:13" ht="15.75" thickBot="1">
      <c r="A43" s="12">
        <f t="shared" si="0"/>
        <v>18</v>
      </c>
      <c r="B43" s="95"/>
      <c r="C43" s="96"/>
      <c r="D43" s="96"/>
      <c r="E43" s="96"/>
      <c r="F43" s="97"/>
      <c r="H43" s="86"/>
      <c r="I43" s="87" t="str">
        <f>_xlfn.XLOOKUP($H43,_dimFactory[Factory Name],_dimFactory[Factory Country],"")</f>
        <v/>
      </c>
      <c r="J43" s="88" t="str">
        <f>_xlfn.XLOOKUP($H43,_dimFactory[Factory Name],_dimFactory[Factory Number],"")</f>
        <v/>
      </c>
      <c r="K43" s="86"/>
      <c r="L43" s="87" t="str">
        <f>_xlfn.XLOOKUP($K43,_dimVendor[Vendor Short Name],_dimVendor[Location],"")</f>
        <v/>
      </c>
      <c r="M43" s="88" t="str">
        <f>_xlfn.XLOOKUP($K43,_dimVendor[Vendor Short Name],_dimVendor[Vendor ID],"")</f>
        <v/>
      </c>
    </row>
  </sheetData>
  <sheetProtection selectLockedCells="1" autoFilter="0"/>
  <dataValidations count="4">
    <dataValidation type="list" allowBlank="1" showInputMessage="1" showErrorMessage="1" error="Vendor Name not in Vendor Master List" prompt="Select Vendor from Dropdown Box._x000a_Leave blank if not use" sqref="C8:F8" xr:uid="{55A8F3B3-2D86-4D2A-B57E-6A13B3049B84}">
      <formula1>VendorList</formula1>
    </dataValidation>
    <dataValidation type="whole" allowBlank="1" showInputMessage="1" showErrorMessage="1" error="Mold Qty Need to be Whole Number" prompt="Mold Qty Need to be Whole Number" sqref="C9:F43" xr:uid="{946EC130-6C69-4C48-8718-1C379AABECEC}">
      <formula1>0</formula1>
      <formula2>100</formula2>
    </dataValidation>
    <dataValidation type="list" allowBlank="1" showInputMessage="1" showErrorMessage="1" sqref="H9:H43" xr:uid="{385C8A87-D976-454D-92B0-D83BE84E5B72}">
      <formula1>FactoryList</formula1>
    </dataValidation>
    <dataValidation type="list" allowBlank="1" showInputMessage="1" showErrorMessage="1" sqref="K9:K43" xr:uid="{631A2C2B-BB26-4D66-8EFA-6BB9D380C326}">
      <formula1>VendorList</formula1>
    </dataValidation>
  </dataValidations>
  <pageMargins left="0.7" right="0.7" top="0.75" bottom="0.75" header="0.3" footer="0.3"/>
  <pageSetup paperSize="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6242-92E0-46CF-9970-BC69DA83C012}">
  <dimension ref="A1:W75"/>
  <sheetViews>
    <sheetView workbookViewId="0">
      <selection activeCell="E12" sqref="E12"/>
    </sheetView>
  </sheetViews>
  <sheetFormatPr defaultRowHeight="14.25"/>
  <cols>
    <col min="1" max="1" width="18.5" bestFit="1" customWidth="1"/>
    <col min="2" max="2" width="20.25" bestFit="1" customWidth="1"/>
    <col min="3" max="3" width="11.75" bestFit="1" customWidth="1"/>
    <col min="5" max="5" width="18.125" bestFit="1" customWidth="1"/>
    <col min="7" max="7" width="18.25" bestFit="1" customWidth="1"/>
    <col min="9" max="9" width="11.625" bestFit="1" customWidth="1"/>
    <col min="10" max="10" width="26.25" bestFit="1" customWidth="1"/>
    <col min="11" max="11" width="59" bestFit="1" customWidth="1"/>
    <col min="12" max="12" width="10.5" bestFit="1" customWidth="1"/>
    <col min="13" max="13" width="17.875" bestFit="1" customWidth="1"/>
    <col min="14" max="14" width="16" bestFit="1" customWidth="1"/>
    <col min="15" max="15" width="14.75" bestFit="1" customWidth="1"/>
    <col min="16" max="16" width="11.875" bestFit="1" customWidth="1"/>
    <col min="17" max="17" width="16.625" bestFit="1" customWidth="1"/>
    <col min="19" max="19" width="17" bestFit="1" customWidth="1"/>
    <col min="20" max="20" width="43.25" bestFit="1" customWidth="1"/>
    <col min="21" max="21" width="17.625" bestFit="1" customWidth="1"/>
    <col min="22" max="22" width="19.625" bestFit="1" customWidth="1"/>
    <col min="23" max="23" width="21.25" bestFit="1" customWidth="1"/>
  </cols>
  <sheetData>
    <row r="1" spans="1:23">
      <c r="A1" t="s">
        <v>2</v>
      </c>
      <c r="B1" t="s">
        <v>3</v>
      </c>
      <c r="C1" t="s">
        <v>15</v>
      </c>
      <c r="E1" t="s">
        <v>10</v>
      </c>
      <c r="G1" t="s">
        <v>408</v>
      </c>
      <c r="I1" t="s">
        <v>19</v>
      </c>
      <c r="J1" t="s">
        <v>20</v>
      </c>
      <c r="K1" t="s">
        <v>21</v>
      </c>
      <c r="L1" t="s">
        <v>6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S1" t="s">
        <v>352</v>
      </c>
      <c r="T1" t="s">
        <v>353</v>
      </c>
      <c r="U1" t="s">
        <v>354</v>
      </c>
      <c r="V1" t="s">
        <v>355</v>
      </c>
      <c r="W1" t="s">
        <v>356</v>
      </c>
    </row>
    <row r="2" spans="1:23">
      <c r="A2" t="s">
        <v>370</v>
      </c>
      <c r="B2" t="s">
        <v>371</v>
      </c>
      <c r="C2" t="s">
        <v>372</v>
      </c>
      <c r="E2" t="s">
        <v>16</v>
      </c>
      <c r="G2" t="s">
        <v>406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26</v>
      </c>
      <c r="P2">
        <v>50563</v>
      </c>
      <c r="S2">
        <v>60349</v>
      </c>
      <c r="T2" s="125" t="s">
        <v>415</v>
      </c>
      <c r="U2" s="125" t="s">
        <v>416</v>
      </c>
      <c r="V2" s="125" t="s">
        <v>417</v>
      </c>
      <c r="W2" s="125" t="s">
        <v>418</v>
      </c>
    </row>
    <row r="3" spans="1:23">
      <c r="A3" t="s">
        <v>373</v>
      </c>
      <c r="B3" t="s">
        <v>374</v>
      </c>
      <c r="C3" t="s">
        <v>372</v>
      </c>
      <c r="E3" t="s">
        <v>409</v>
      </c>
      <c r="G3" t="s">
        <v>407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>
        <v>26</v>
      </c>
      <c r="S3">
        <v>61042</v>
      </c>
      <c r="T3" s="125" t="s">
        <v>419</v>
      </c>
      <c r="U3" s="125" t="s">
        <v>420</v>
      </c>
      <c r="V3" s="125" t="s">
        <v>421</v>
      </c>
      <c r="W3" s="125" t="s">
        <v>422</v>
      </c>
    </row>
    <row r="4" spans="1:23">
      <c r="A4" t="s">
        <v>375</v>
      </c>
      <c r="B4" t="s">
        <v>376</v>
      </c>
      <c r="C4" t="s">
        <v>377</v>
      </c>
      <c r="E4" t="s">
        <v>17</v>
      </c>
      <c r="G4" t="s">
        <v>369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>
        <v>26</v>
      </c>
      <c r="P4">
        <v>50565</v>
      </c>
      <c r="S4">
        <v>61225</v>
      </c>
      <c r="T4" s="125" t="s">
        <v>423</v>
      </c>
      <c r="U4" s="125" t="s">
        <v>420</v>
      </c>
      <c r="V4" s="125" t="s">
        <v>421</v>
      </c>
      <c r="W4" s="125" t="s">
        <v>422</v>
      </c>
    </row>
    <row r="5" spans="1:23">
      <c r="A5" t="s">
        <v>378</v>
      </c>
      <c r="B5" t="s">
        <v>379</v>
      </c>
      <c r="C5" t="s">
        <v>377</v>
      </c>
      <c r="E5" t="s">
        <v>18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>
        <v>26</v>
      </c>
      <c r="P5">
        <v>50569</v>
      </c>
      <c r="Q5" t="s">
        <v>51</v>
      </c>
      <c r="S5">
        <v>61374</v>
      </c>
      <c r="T5" s="125" t="s">
        <v>424</v>
      </c>
      <c r="U5" s="125" t="s">
        <v>416</v>
      </c>
      <c r="V5" s="125" t="s">
        <v>425</v>
      </c>
      <c r="W5" s="125" t="s">
        <v>426</v>
      </c>
    </row>
    <row r="6" spans="1:23">
      <c r="A6" t="s">
        <v>380</v>
      </c>
      <c r="B6" t="s">
        <v>381</v>
      </c>
      <c r="C6" t="s">
        <v>377</v>
      </c>
      <c r="I6" t="s">
        <v>52</v>
      </c>
      <c r="J6" t="s">
        <v>53</v>
      </c>
      <c r="K6" t="s">
        <v>54</v>
      </c>
      <c r="L6" t="s">
        <v>48</v>
      </c>
      <c r="M6" t="s">
        <v>49</v>
      </c>
      <c r="N6" t="s">
        <v>50</v>
      </c>
      <c r="O6">
        <v>26</v>
      </c>
      <c r="Q6" t="s">
        <v>55</v>
      </c>
      <c r="S6">
        <v>61427</v>
      </c>
      <c r="T6" s="125" t="s">
        <v>362</v>
      </c>
      <c r="U6" s="125" t="s">
        <v>427</v>
      </c>
      <c r="V6" s="125" t="s">
        <v>363</v>
      </c>
      <c r="W6" s="125" t="s">
        <v>364</v>
      </c>
    </row>
    <row r="7" spans="1:23">
      <c r="A7" t="s">
        <v>382</v>
      </c>
      <c r="B7" t="s">
        <v>383</v>
      </c>
      <c r="C7" t="s">
        <v>377</v>
      </c>
      <c r="I7" t="s">
        <v>56</v>
      </c>
      <c r="J7" t="s">
        <v>57</v>
      </c>
      <c r="K7" t="s">
        <v>58</v>
      </c>
      <c r="L7" t="s">
        <v>42</v>
      </c>
      <c r="M7" t="s">
        <v>49</v>
      </c>
      <c r="N7" t="s">
        <v>50</v>
      </c>
      <c r="O7">
        <v>26</v>
      </c>
      <c r="P7">
        <v>50567</v>
      </c>
      <c r="Q7" t="s">
        <v>59</v>
      </c>
      <c r="S7">
        <v>61446</v>
      </c>
      <c r="T7" s="125" t="s">
        <v>428</v>
      </c>
      <c r="U7" s="125" t="s">
        <v>416</v>
      </c>
      <c r="V7" s="125" t="s">
        <v>367</v>
      </c>
      <c r="W7" s="125" t="s">
        <v>429</v>
      </c>
    </row>
    <row r="8" spans="1:23">
      <c r="A8" t="s">
        <v>384</v>
      </c>
      <c r="B8" t="s">
        <v>385</v>
      </c>
      <c r="C8" t="s">
        <v>377</v>
      </c>
      <c r="I8" t="s">
        <v>60</v>
      </c>
      <c r="J8" t="s">
        <v>61</v>
      </c>
      <c r="K8" t="s">
        <v>62</v>
      </c>
      <c r="L8" t="s">
        <v>42</v>
      </c>
      <c r="M8" t="s">
        <v>49</v>
      </c>
      <c r="N8" t="s">
        <v>50</v>
      </c>
      <c r="O8">
        <v>26</v>
      </c>
      <c r="P8">
        <v>50571</v>
      </c>
      <c r="Q8" t="s">
        <v>63</v>
      </c>
      <c r="S8">
        <v>61504</v>
      </c>
      <c r="T8" s="125" t="s">
        <v>430</v>
      </c>
      <c r="U8" s="125" t="s">
        <v>431</v>
      </c>
      <c r="V8" s="125" t="s">
        <v>417</v>
      </c>
      <c r="W8" s="125" t="s">
        <v>418</v>
      </c>
    </row>
    <row r="9" spans="1:23">
      <c r="I9" t="s">
        <v>64</v>
      </c>
      <c r="J9" t="s">
        <v>65</v>
      </c>
      <c r="K9" t="s">
        <v>66</v>
      </c>
      <c r="L9" t="s">
        <v>42</v>
      </c>
      <c r="M9" t="s">
        <v>49</v>
      </c>
      <c r="N9" t="s">
        <v>50</v>
      </c>
      <c r="O9">
        <v>26</v>
      </c>
      <c r="P9">
        <v>50566</v>
      </c>
      <c r="Q9" t="s">
        <v>67</v>
      </c>
      <c r="S9">
        <v>61510</v>
      </c>
      <c r="T9" s="125" t="s">
        <v>368</v>
      </c>
      <c r="U9" s="125" t="s">
        <v>432</v>
      </c>
      <c r="V9" s="125" t="s">
        <v>360</v>
      </c>
      <c r="W9" s="125" t="s">
        <v>433</v>
      </c>
    </row>
    <row r="10" spans="1:23">
      <c r="I10" t="s">
        <v>68</v>
      </c>
      <c r="J10" t="s">
        <v>69</v>
      </c>
      <c r="K10" t="s">
        <v>70</v>
      </c>
      <c r="L10" t="s">
        <v>42</v>
      </c>
      <c r="M10" t="s">
        <v>49</v>
      </c>
      <c r="N10" t="s">
        <v>50</v>
      </c>
      <c r="O10">
        <v>26</v>
      </c>
      <c r="P10">
        <v>50568</v>
      </c>
      <c r="Q10" t="s">
        <v>51</v>
      </c>
      <c r="S10">
        <v>61589</v>
      </c>
      <c r="T10" s="125" t="s">
        <v>366</v>
      </c>
      <c r="U10" s="125" t="s">
        <v>416</v>
      </c>
      <c r="V10" s="125" t="s">
        <v>367</v>
      </c>
      <c r="W10" s="125" t="s">
        <v>429</v>
      </c>
    </row>
    <row r="11" spans="1:23">
      <c r="I11" t="s">
        <v>71</v>
      </c>
      <c r="J11" t="s">
        <v>72</v>
      </c>
      <c r="K11" t="s">
        <v>73</v>
      </c>
      <c r="L11" t="s">
        <v>48</v>
      </c>
      <c r="M11" t="s">
        <v>74</v>
      </c>
      <c r="N11" t="s">
        <v>75</v>
      </c>
      <c r="O11">
        <v>26</v>
      </c>
      <c r="P11">
        <v>50572</v>
      </c>
      <c r="S11">
        <v>61626</v>
      </c>
      <c r="T11" s="125" t="s">
        <v>434</v>
      </c>
      <c r="U11" s="125" t="s">
        <v>435</v>
      </c>
      <c r="V11" s="125" t="s">
        <v>436</v>
      </c>
      <c r="W11" s="125" t="s">
        <v>437</v>
      </c>
    </row>
    <row r="12" spans="1:23">
      <c r="I12" t="s">
        <v>76</v>
      </c>
      <c r="J12" t="s">
        <v>77</v>
      </c>
      <c r="K12" t="s">
        <v>78</v>
      </c>
      <c r="L12" t="s">
        <v>30</v>
      </c>
      <c r="M12" t="s">
        <v>74</v>
      </c>
      <c r="N12" t="s">
        <v>75</v>
      </c>
      <c r="O12">
        <v>26</v>
      </c>
      <c r="P12">
        <v>50573</v>
      </c>
      <c r="S12">
        <v>61734</v>
      </c>
      <c r="T12" s="125" t="s">
        <v>438</v>
      </c>
      <c r="U12" s="125" t="s">
        <v>427</v>
      </c>
      <c r="V12" s="125" t="s">
        <v>439</v>
      </c>
      <c r="W12" s="125" t="s">
        <v>440</v>
      </c>
    </row>
    <row r="13" spans="1:23">
      <c r="I13" t="s">
        <v>79</v>
      </c>
      <c r="J13" t="s">
        <v>80</v>
      </c>
      <c r="K13" t="s">
        <v>81</v>
      </c>
      <c r="L13" t="s">
        <v>30</v>
      </c>
      <c r="M13" t="s">
        <v>82</v>
      </c>
      <c r="N13" t="s">
        <v>83</v>
      </c>
      <c r="O13">
        <v>26</v>
      </c>
      <c r="S13">
        <v>61882</v>
      </c>
      <c r="T13" s="125" t="s">
        <v>441</v>
      </c>
      <c r="U13" s="125" t="s">
        <v>420</v>
      </c>
      <c r="V13" s="125" t="s">
        <v>442</v>
      </c>
      <c r="W13" s="125" t="s">
        <v>443</v>
      </c>
    </row>
    <row r="14" spans="1:23">
      <c r="I14" t="s">
        <v>84</v>
      </c>
      <c r="J14" t="s">
        <v>85</v>
      </c>
      <c r="K14" t="s">
        <v>86</v>
      </c>
      <c r="L14" t="s">
        <v>42</v>
      </c>
      <c r="M14" t="s">
        <v>82</v>
      </c>
      <c r="N14" t="s">
        <v>83</v>
      </c>
      <c r="O14">
        <v>26</v>
      </c>
      <c r="P14">
        <v>50575</v>
      </c>
      <c r="S14">
        <v>61905</v>
      </c>
      <c r="T14" s="125" t="s">
        <v>444</v>
      </c>
      <c r="U14" s="125" t="s">
        <v>420</v>
      </c>
      <c r="V14" s="125" t="s">
        <v>360</v>
      </c>
      <c r="W14" s="125" t="s">
        <v>433</v>
      </c>
    </row>
    <row r="15" spans="1:23">
      <c r="I15" t="s">
        <v>87</v>
      </c>
      <c r="J15" t="s">
        <v>88</v>
      </c>
      <c r="K15" t="s">
        <v>89</v>
      </c>
      <c r="L15" t="s">
        <v>30</v>
      </c>
      <c r="M15" t="s">
        <v>90</v>
      </c>
      <c r="N15" t="s">
        <v>91</v>
      </c>
      <c r="O15">
        <v>26</v>
      </c>
      <c r="P15">
        <v>50578</v>
      </c>
      <c r="Q15" t="s">
        <v>92</v>
      </c>
      <c r="S15">
        <v>61925</v>
      </c>
      <c r="T15" s="125" t="s">
        <v>445</v>
      </c>
      <c r="U15" s="125" t="s">
        <v>431</v>
      </c>
      <c r="V15" s="125" t="s">
        <v>446</v>
      </c>
      <c r="W15" s="125" t="s">
        <v>447</v>
      </c>
    </row>
    <row r="16" spans="1:23">
      <c r="I16" t="s">
        <v>93</v>
      </c>
      <c r="J16" t="s">
        <v>94</v>
      </c>
      <c r="K16" t="s">
        <v>95</v>
      </c>
      <c r="L16" t="s">
        <v>30</v>
      </c>
      <c r="M16" t="s">
        <v>96</v>
      </c>
      <c r="N16" t="s">
        <v>97</v>
      </c>
      <c r="O16">
        <v>26</v>
      </c>
      <c r="P16">
        <v>50519</v>
      </c>
      <c r="S16">
        <v>61975</v>
      </c>
      <c r="T16" s="125" t="s">
        <v>448</v>
      </c>
      <c r="U16" s="125" t="s">
        <v>431</v>
      </c>
      <c r="V16" s="125" t="s">
        <v>425</v>
      </c>
      <c r="W16" s="125" t="s">
        <v>426</v>
      </c>
    </row>
    <row r="17" spans="9:23">
      <c r="I17" t="s">
        <v>98</v>
      </c>
      <c r="J17" t="s">
        <v>99</v>
      </c>
      <c r="K17" t="s">
        <v>100</v>
      </c>
      <c r="L17" t="s">
        <v>42</v>
      </c>
      <c r="M17" t="s">
        <v>96</v>
      </c>
      <c r="N17" t="s">
        <v>97</v>
      </c>
      <c r="O17">
        <v>26</v>
      </c>
      <c r="P17">
        <v>50518</v>
      </c>
      <c r="S17">
        <v>62013</v>
      </c>
      <c r="T17" s="125" t="s">
        <v>449</v>
      </c>
      <c r="U17" s="125" t="s">
        <v>431</v>
      </c>
      <c r="V17" s="125" t="s">
        <v>450</v>
      </c>
      <c r="W17" s="125" t="s">
        <v>451</v>
      </c>
    </row>
    <row r="18" spans="9:23">
      <c r="I18" t="s">
        <v>101</v>
      </c>
      <c r="J18" t="s">
        <v>102</v>
      </c>
      <c r="K18" t="s">
        <v>103</v>
      </c>
      <c r="L18" t="s">
        <v>30</v>
      </c>
      <c r="M18" t="s">
        <v>104</v>
      </c>
      <c r="N18" t="s">
        <v>105</v>
      </c>
      <c r="O18">
        <v>26</v>
      </c>
      <c r="P18">
        <v>50521</v>
      </c>
      <c r="S18">
        <v>62056</v>
      </c>
      <c r="T18" s="125" t="s">
        <v>314</v>
      </c>
      <c r="U18" s="125" t="s">
        <v>416</v>
      </c>
      <c r="V18" s="125" t="s">
        <v>450</v>
      </c>
      <c r="W18" s="125" t="s">
        <v>451</v>
      </c>
    </row>
    <row r="19" spans="9:23">
      <c r="I19" t="s">
        <v>106</v>
      </c>
      <c r="J19" t="s">
        <v>107</v>
      </c>
      <c r="K19" t="s">
        <v>108</v>
      </c>
      <c r="L19" t="s">
        <v>42</v>
      </c>
      <c r="M19" t="s">
        <v>104</v>
      </c>
      <c r="N19" t="s">
        <v>105</v>
      </c>
      <c r="O19">
        <v>26</v>
      </c>
      <c r="P19">
        <v>50520</v>
      </c>
      <c r="S19">
        <v>62089</v>
      </c>
      <c r="T19" s="125" t="s">
        <v>452</v>
      </c>
      <c r="U19" s="125" t="s">
        <v>416</v>
      </c>
      <c r="V19" s="125" t="s">
        <v>421</v>
      </c>
      <c r="W19" s="125" t="s">
        <v>422</v>
      </c>
    </row>
    <row r="20" spans="9:23">
      <c r="I20" t="s">
        <v>109</v>
      </c>
      <c r="J20" t="s">
        <v>110</v>
      </c>
      <c r="K20" t="s">
        <v>111</v>
      </c>
      <c r="L20" t="s">
        <v>30</v>
      </c>
      <c r="M20" t="s">
        <v>112</v>
      </c>
      <c r="N20" t="s">
        <v>113</v>
      </c>
      <c r="O20">
        <v>26</v>
      </c>
      <c r="P20">
        <v>50584</v>
      </c>
      <c r="S20">
        <v>62093</v>
      </c>
      <c r="T20" s="125" t="s">
        <v>361</v>
      </c>
      <c r="U20" s="125" t="s">
        <v>416</v>
      </c>
      <c r="V20" s="125" t="s">
        <v>193</v>
      </c>
      <c r="W20" s="125" t="s">
        <v>193</v>
      </c>
    </row>
    <row r="21" spans="9:23">
      <c r="I21" t="s">
        <v>114</v>
      </c>
      <c r="J21" t="s">
        <v>115</v>
      </c>
      <c r="K21" t="s">
        <v>116</v>
      </c>
      <c r="L21" t="s">
        <v>42</v>
      </c>
      <c r="M21" t="s">
        <v>112</v>
      </c>
      <c r="N21" t="s">
        <v>113</v>
      </c>
      <c r="O21">
        <v>26</v>
      </c>
      <c r="S21">
        <v>62117</v>
      </c>
      <c r="T21" s="125" t="s">
        <v>453</v>
      </c>
      <c r="U21" s="125" t="s">
        <v>427</v>
      </c>
      <c r="V21" s="125" t="s">
        <v>454</v>
      </c>
      <c r="W21" s="125" t="s">
        <v>455</v>
      </c>
    </row>
    <row r="22" spans="9:23">
      <c r="I22" t="s">
        <v>117</v>
      </c>
      <c r="J22" t="s">
        <v>118</v>
      </c>
      <c r="K22" t="s">
        <v>119</v>
      </c>
      <c r="L22" t="s">
        <v>30</v>
      </c>
      <c r="M22" t="s">
        <v>120</v>
      </c>
      <c r="N22" t="s">
        <v>121</v>
      </c>
      <c r="O22">
        <v>26</v>
      </c>
      <c r="P22">
        <v>50588</v>
      </c>
      <c r="S22">
        <v>62145</v>
      </c>
      <c r="T22" s="125" t="s">
        <v>456</v>
      </c>
      <c r="U22" s="125" t="s">
        <v>420</v>
      </c>
      <c r="V22" s="125" t="s">
        <v>457</v>
      </c>
      <c r="W22" s="125" t="s">
        <v>458</v>
      </c>
    </row>
    <row r="23" spans="9:23"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127</v>
      </c>
      <c r="O23">
        <v>26</v>
      </c>
      <c r="P23">
        <v>50589</v>
      </c>
      <c r="S23">
        <v>62146</v>
      </c>
      <c r="T23" s="125" t="s">
        <v>459</v>
      </c>
      <c r="U23" s="125" t="s">
        <v>427</v>
      </c>
      <c r="V23" s="125" t="s">
        <v>460</v>
      </c>
      <c r="W23" s="125" t="s">
        <v>461</v>
      </c>
    </row>
    <row r="24" spans="9:23">
      <c r="I24" t="s">
        <v>128</v>
      </c>
      <c r="J24" t="s">
        <v>129</v>
      </c>
      <c r="K24" t="s">
        <v>130</v>
      </c>
      <c r="L24" t="s">
        <v>42</v>
      </c>
      <c r="M24" t="s">
        <v>126</v>
      </c>
      <c r="N24" t="s">
        <v>127</v>
      </c>
      <c r="O24">
        <v>26</v>
      </c>
      <c r="P24">
        <v>50633</v>
      </c>
      <c r="Q24" t="s">
        <v>131</v>
      </c>
      <c r="S24">
        <v>62154</v>
      </c>
      <c r="T24" s="125" t="s">
        <v>462</v>
      </c>
      <c r="U24" s="125" t="s">
        <v>427</v>
      </c>
      <c r="V24" s="125" t="s">
        <v>457</v>
      </c>
      <c r="W24" s="125" t="s">
        <v>458</v>
      </c>
    </row>
    <row r="25" spans="9:23">
      <c r="I25" t="s">
        <v>132</v>
      </c>
      <c r="J25" t="s">
        <v>133</v>
      </c>
      <c r="K25" t="s">
        <v>134</v>
      </c>
      <c r="L25" t="s">
        <v>42</v>
      </c>
      <c r="M25" t="s">
        <v>126</v>
      </c>
      <c r="N25" t="s">
        <v>127</v>
      </c>
      <c r="O25">
        <v>26</v>
      </c>
      <c r="P25">
        <v>50634</v>
      </c>
      <c r="Q25" t="s">
        <v>135</v>
      </c>
      <c r="S25">
        <v>62212</v>
      </c>
      <c r="T25" s="125" t="s">
        <v>463</v>
      </c>
      <c r="U25" s="125" t="s">
        <v>427</v>
      </c>
      <c r="V25" s="125" t="s">
        <v>464</v>
      </c>
      <c r="W25" s="125" t="s">
        <v>465</v>
      </c>
    </row>
    <row r="26" spans="9:23">
      <c r="I26" t="s">
        <v>136</v>
      </c>
      <c r="J26" t="s">
        <v>137</v>
      </c>
      <c r="K26" t="s">
        <v>138</v>
      </c>
      <c r="L26" t="s">
        <v>30</v>
      </c>
      <c r="M26" t="s">
        <v>139</v>
      </c>
      <c r="N26" t="s">
        <v>140</v>
      </c>
      <c r="O26">
        <v>26</v>
      </c>
      <c r="P26">
        <v>50590</v>
      </c>
      <c r="S26">
        <v>62364</v>
      </c>
      <c r="T26" s="125" t="s">
        <v>249</v>
      </c>
      <c r="U26" s="125" t="s">
        <v>420</v>
      </c>
      <c r="V26" s="125" t="s">
        <v>357</v>
      </c>
      <c r="W26" s="125" t="s">
        <v>358</v>
      </c>
    </row>
    <row r="27" spans="9:23">
      <c r="I27" t="s">
        <v>141</v>
      </c>
      <c r="J27" t="s">
        <v>142</v>
      </c>
      <c r="K27" t="s">
        <v>143</v>
      </c>
      <c r="L27" t="s">
        <v>30</v>
      </c>
      <c r="M27" t="s">
        <v>144</v>
      </c>
      <c r="N27" t="s">
        <v>145</v>
      </c>
      <c r="O27">
        <v>26</v>
      </c>
      <c r="P27">
        <v>50526</v>
      </c>
      <c r="S27">
        <v>62384</v>
      </c>
      <c r="T27" s="125" t="s">
        <v>466</v>
      </c>
      <c r="U27" s="125" t="s">
        <v>416</v>
      </c>
      <c r="V27" s="125" t="s">
        <v>454</v>
      </c>
      <c r="W27" s="125" t="s">
        <v>455</v>
      </c>
    </row>
    <row r="28" spans="9:23">
      <c r="I28" t="s">
        <v>146</v>
      </c>
      <c r="J28" t="s">
        <v>147</v>
      </c>
      <c r="K28" t="s">
        <v>148</v>
      </c>
      <c r="L28" t="s">
        <v>42</v>
      </c>
      <c r="M28" t="s">
        <v>144</v>
      </c>
      <c r="N28" t="s">
        <v>145</v>
      </c>
      <c r="O28">
        <v>26</v>
      </c>
      <c r="P28">
        <v>50527</v>
      </c>
      <c r="S28">
        <v>62406</v>
      </c>
      <c r="T28" s="125" t="s">
        <v>467</v>
      </c>
      <c r="U28" s="125" t="s">
        <v>427</v>
      </c>
      <c r="V28" s="125" t="s">
        <v>454</v>
      </c>
      <c r="W28" s="125" t="s">
        <v>455</v>
      </c>
    </row>
    <row r="29" spans="9:23">
      <c r="I29" t="s">
        <v>149</v>
      </c>
      <c r="J29" t="s">
        <v>150</v>
      </c>
      <c r="K29" t="s">
        <v>151</v>
      </c>
      <c r="L29" t="s">
        <v>30</v>
      </c>
      <c r="M29" t="s">
        <v>152</v>
      </c>
      <c r="N29" t="s">
        <v>153</v>
      </c>
      <c r="O29">
        <v>26</v>
      </c>
      <c r="P29">
        <v>50592</v>
      </c>
      <c r="S29">
        <v>62412</v>
      </c>
      <c r="T29" s="125" t="s">
        <v>468</v>
      </c>
      <c r="U29" s="125" t="s">
        <v>420</v>
      </c>
      <c r="V29" s="125" t="s">
        <v>421</v>
      </c>
      <c r="W29" s="125" t="s">
        <v>422</v>
      </c>
    </row>
    <row r="30" spans="9:23">
      <c r="I30" t="s">
        <v>154</v>
      </c>
      <c r="J30" t="s">
        <v>155</v>
      </c>
      <c r="K30" t="s">
        <v>156</v>
      </c>
      <c r="L30" t="s">
        <v>42</v>
      </c>
      <c r="M30" t="s">
        <v>152</v>
      </c>
      <c r="N30" t="s">
        <v>153</v>
      </c>
      <c r="O30">
        <v>26</v>
      </c>
      <c r="P30">
        <v>50591</v>
      </c>
      <c r="S30">
        <v>62415</v>
      </c>
      <c r="T30" s="125" t="s">
        <v>469</v>
      </c>
      <c r="U30" s="125" t="s">
        <v>416</v>
      </c>
      <c r="V30" s="125" t="s">
        <v>363</v>
      </c>
      <c r="W30" s="125" t="s">
        <v>364</v>
      </c>
    </row>
    <row r="31" spans="9:23">
      <c r="I31" t="s">
        <v>157</v>
      </c>
      <c r="J31" t="s">
        <v>158</v>
      </c>
      <c r="K31" t="s">
        <v>159</v>
      </c>
      <c r="L31" t="s">
        <v>42</v>
      </c>
      <c r="M31" t="s">
        <v>160</v>
      </c>
      <c r="N31" t="s">
        <v>161</v>
      </c>
      <c r="O31">
        <v>26</v>
      </c>
      <c r="P31">
        <v>50593</v>
      </c>
      <c r="S31">
        <v>62424</v>
      </c>
      <c r="T31" s="125" t="s">
        <v>470</v>
      </c>
      <c r="U31" s="125" t="s">
        <v>427</v>
      </c>
      <c r="V31" s="125" t="s">
        <v>471</v>
      </c>
      <c r="W31" s="125" t="s">
        <v>472</v>
      </c>
    </row>
    <row r="32" spans="9:23">
      <c r="I32" t="s">
        <v>162</v>
      </c>
      <c r="J32" t="s">
        <v>163</v>
      </c>
      <c r="K32" t="s">
        <v>164</v>
      </c>
      <c r="L32" t="s">
        <v>48</v>
      </c>
      <c r="M32" t="s">
        <v>165</v>
      </c>
      <c r="N32" t="s">
        <v>166</v>
      </c>
      <c r="O32">
        <v>26</v>
      </c>
      <c r="P32">
        <v>50528</v>
      </c>
      <c r="S32">
        <v>62430</v>
      </c>
      <c r="T32" s="125" t="s">
        <v>359</v>
      </c>
      <c r="U32" s="125" t="s">
        <v>432</v>
      </c>
      <c r="V32" s="125" t="s">
        <v>360</v>
      </c>
      <c r="W32" s="125" t="s">
        <v>433</v>
      </c>
    </row>
    <row r="33" spans="9:23">
      <c r="I33" t="s">
        <v>167</v>
      </c>
      <c r="J33" t="s">
        <v>168</v>
      </c>
      <c r="K33" t="s">
        <v>169</v>
      </c>
      <c r="L33" t="s">
        <v>30</v>
      </c>
      <c r="M33" t="s">
        <v>165</v>
      </c>
      <c r="N33" t="s">
        <v>166</v>
      </c>
      <c r="O33">
        <v>26</v>
      </c>
      <c r="P33">
        <v>50529</v>
      </c>
      <c r="S33">
        <v>62506</v>
      </c>
      <c r="T33" s="125" t="s">
        <v>365</v>
      </c>
      <c r="U33" s="125" t="s">
        <v>416</v>
      </c>
      <c r="V33" s="125" t="s">
        <v>363</v>
      </c>
      <c r="W33" s="125" t="s">
        <v>364</v>
      </c>
    </row>
    <row r="34" spans="9:23">
      <c r="I34" t="s">
        <v>170</v>
      </c>
      <c r="J34" t="s">
        <v>171</v>
      </c>
      <c r="K34" t="s">
        <v>172</v>
      </c>
      <c r="L34" t="s">
        <v>36</v>
      </c>
      <c r="M34" t="s">
        <v>173</v>
      </c>
      <c r="N34" t="s">
        <v>174</v>
      </c>
      <c r="O34">
        <v>26</v>
      </c>
      <c r="S34">
        <v>62557</v>
      </c>
      <c r="T34" s="125" t="s">
        <v>35</v>
      </c>
      <c r="U34" s="125" t="s">
        <v>432</v>
      </c>
      <c r="V34" s="125" t="s">
        <v>450</v>
      </c>
      <c r="W34" s="125" t="s">
        <v>451</v>
      </c>
    </row>
    <row r="35" spans="9:23">
      <c r="I35" t="s">
        <v>175</v>
      </c>
      <c r="J35" t="s">
        <v>176</v>
      </c>
      <c r="K35" t="s">
        <v>177</v>
      </c>
      <c r="L35" t="s">
        <v>36</v>
      </c>
      <c r="M35" t="s">
        <v>178</v>
      </c>
      <c r="N35" t="s">
        <v>179</v>
      </c>
      <c r="O35">
        <v>26</v>
      </c>
      <c r="Q35" t="s">
        <v>180</v>
      </c>
    </row>
    <row r="36" spans="9:23">
      <c r="I36" t="s">
        <v>181</v>
      </c>
      <c r="J36" t="s">
        <v>182</v>
      </c>
      <c r="K36" t="s">
        <v>183</v>
      </c>
      <c r="L36" t="s">
        <v>36</v>
      </c>
      <c r="M36" t="s">
        <v>184</v>
      </c>
      <c r="N36" t="s">
        <v>185</v>
      </c>
      <c r="O36">
        <v>26</v>
      </c>
    </row>
    <row r="37" spans="9:23">
      <c r="I37" t="s">
        <v>186</v>
      </c>
      <c r="J37" t="s">
        <v>187</v>
      </c>
      <c r="K37" t="s">
        <v>188</v>
      </c>
      <c r="L37" t="s">
        <v>42</v>
      </c>
      <c r="M37" t="s">
        <v>184</v>
      </c>
      <c r="N37" t="s">
        <v>185</v>
      </c>
      <c r="O37">
        <v>26</v>
      </c>
    </row>
    <row r="38" spans="9:23">
      <c r="I38" t="s">
        <v>189</v>
      </c>
      <c r="J38" t="s">
        <v>190</v>
      </c>
      <c r="K38" t="s">
        <v>191</v>
      </c>
      <c r="L38" t="s">
        <v>42</v>
      </c>
      <c r="M38" t="s">
        <v>192</v>
      </c>
      <c r="N38" t="s">
        <v>193</v>
      </c>
      <c r="O38">
        <v>26</v>
      </c>
      <c r="P38">
        <v>50533</v>
      </c>
    </row>
    <row r="39" spans="9:23">
      <c r="I39" t="s">
        <v>194</v>
      </c>
      <c r="J39" t="s">
        <v>195</v>
      </c>
      <c r="K39" t="s">
        <v>196</v>
      </c>
      <c r="L39" t="s">
        <v>30</v>
      </c>
      <c r="M39" t="s">
        <v>197</v>
      </c>
      <c r="N39" t="s">
        <v>198</v>
      </c>
      <c r="O39">
        <v>26</v>
      </c>
    </row>
    <row r="40" spans="9:23">
      <c r="I40" t="s">
        <v>199</v>
      </c>
      <c r="J40" t="s">
        <v>200</v>
      </c>
      <c r="K40" t="s">
        <v>201</v>
      </c>
      <c r="L40" t="s">
        <v>42</v>
      </c>
      <c r="M40" t="s">
        <v>197</v>
      </c>
      <c r="N40" t="s">
        <v>198</v>
      </c>
      <c r="O40">
        <v>26</v>
      </c>
    </row>
    <row r="41" spans="9:23">
      <c r="I41" t="s">
        <v>202</v>
      </c>
      <c r="J41" t="s">
        <v>203</v>
      </c>
      <c r="K41" t="s">
        <v>204</v>
      </c>
      <c r="L41" t="s">
        <v>42</v>
      </c>
      <c r="M41" t="s">
        <v>205</v>
      </c>
      <c r="N41" t="s">
        <v>206</v>
      </c>
      <c r="O41">
        <v>26</v>
      </c>
      <c r="P41">
        <v>50614</v>
      </c>
    </row>
    <row r="42" spans="9:23">
      <c r="I42" t="s">
        <v>207</v>
      </c>
      <c r="J42" t="s">
        <v>208</v>
      </c>
      <c r="K42" t="s">
        <v>209</v>
      </c>
      <c r="L42" t="s">
        <v>30</v>
      </c>
      <c r="M42" t="s">
        <v>210</v>
      </c>
      <c r="N42" t="s">
        <v>211</v>
      </c>
      <c r="O42">
        <v>26</v>
      </c>
      <c r="P42">
        <v>50616</v>
      </c>
    </row>
    <row r="43" spans="9:23">
      <c r="I43" t="s">
        <v>212</v>
      </c>
      <c r="J43" t="s">
        <v>213</v>
      </c>
      <c r="K43" t="s">
        <v>214</v>
      </c>
      <c r="L43" t="s">
        <v>42</v>
      </c>
      <c r="M43" t="s">
        <v>210</v>
      </c>
      <c r="N43" t="s">
        <v>211</v>
      </c>
      <c r="O43">
        <v>26</v>
      </c>
      <c r="P43">
        <v>50617</v>
      </c>
    </row>
    <row r="44" spans="9:23">
      <c r="I44" t="s">
        <v>215</v>
      </c>
      <c r="J44" t="s">
        <v>216</v>
      </c>
      <c r="K44" t="s">
        <v>217</v>
      </c>
      <c r="L44" t="s">
        <v>48</v>
      </c>
      <c r="M44" t="s">
        <v>218</v>
      </c>
      <c r="N44" t="s">
        <v>219</v>
      </c>
      <c r="O44">
        <v>26</v>
      </c>
    </row>
    <row r="45" spans="9:23">
      <c r="I45" t="s">
        <v>220</v>
      </c>
      <c r="J45" t="s">
        <v>221</v>
      </c>
      <c r="K45" t="s">
        <v>222</v>
      </c>
      <c r="L45" t="s">
        <v>30</v>
      </c>
      <c r="M45" t="s">
        <v>218</v>
      </c>
      <c r="N45" t="s">
        <v>219</v>
      </c>
      <c r="O45">
        <v>26</v>
      </c>
      <c r="P45">
        <v>50620</v>
      </c>
    </row>
    <row r="46" spans="9:23">
      <c r="I46" t="s">
        <v>223</v>
      </c>
      <c r="J46" t="s">
        <v>224</v>
      </c>
      <c r="K46" t="s">
        <v>225</v>
      </c>
      <c r="L46" t="s">
        <v>42</v>
      </c>
      <c r="M46" t="s">
        <v>218</v>
      </c>
      <c r="N46" t="s">
        <v>219</v>
      </c>
      <c r="O46">
        <v>26</v>
      </c>
      <c r="P46">
        <v>50534</v>
      </c>
    </row>
    <row r="47" spans="9:23">
      <c r="I47" t="s">
        <v>226</v>
      </c>
      <c r="J47" t="s">
        <v>227</v>
      </c>
      <c r="K47" t="s">
        <v>228</v>
      </c>
      <c r="L47" t="s">
        <v>30</v>
      </c>
      <c r="M47" t="s">
        <v>229</v>
      </c>
      <c r="N47" t="s">
        <v>230</v>
      </c>
      <c r="O47">
        <v>26</v>
      </c>
    </row>
    <row r="48" spans="9:23">
      <c r="I48" t="s">
        <v>231</v>
      </c>
      <c r="J48" t="s">
        <v>232</v>
      </c>
      <c r="K48" t="s">
        <v>233</v>
      </c>
      <c r="L48" t="s">
        <v>36</v>
      </c>
      <c r="M48" t="s">
        <v>229</v>
      </c>
      <c r="N48" t="s">
        <v>230</v>
      </c>
      <c r="O48">
        <v>26</v>
      </c>
    </row>
    <row r="49" spans="9:16">
      <c r="I49" t="s">
        <v>234</v>
      </c>
      <c r="J49" t="s">
        <v>235</v>
      </c>
      <c r="K49" t="s">
        <v>236</v>
      </c>
      <c r="L49" t="s">
        <v>30</v>
      </c>
      <c r="M49" t="s">
        <v>237</v>
      </c>
      <c r="N49" t="s">
        <v>238</v>
      </c>
      <c r="O49">
        <v>26</v>
      </c>
      <c r="P49">
        <v>50624</v>
      </c>
    </row>
    <row r="50" spans="9:16">
      <c r="I50" t="s">
        <v>239</v>
      </c>
      <c r="J50" t="s">
        <v>240</v>
      </c>
      <c r="K50" t="s">
        <v>241</v>
      </c>
      <c r="L50" t="s">
        <v>42</v>
      </c>
      <c r="M50" t="s">
        <v>237</v>
      </c>
      <c r="N50" t="s">
        <v>238</v>
      </c>
      <c r="O50">
        <v>26</v>
      </c>
      <c r="P50">
        <v>50626</v>
      </c>
    </row>
    <row r="51" spans="9:16">
      <c r="I51" t="s">
        <v>242</v>
      </c>
      <c r="J51" t="s">
        <v>243</v>
      </c>
      <c r="K51" t="s">
        <v>244</v>
      </c>
      <c r="L51" t="s">
        <v>42</v>
      </c>
      <c r="M51" t="s">
        <v>245</v>
      </c>
      <c r="N51" t="s">
        <v>246</v>
      </c>
      <c r="O51">
        <v>26</v>
      </c>
      <c r="P51">
        <v>50627</v>
      </c>
    </row>
    <row r="52" spans="9:16">
      <c r="I52" t="s">
        <v>247</v>
      </c>
      <c r="J52" t="s">
        <v>248</v>
      </c>
      <c r="K52" t="s">
        <v>249</v>
      </c>
      <c r="L52" t="s">
        <v>48</v>
      </c>
      <c r="M52" t="s">
        <v>250</v>
      </c>
      <c r="N52" t="s">
        <v>251</v>
      </c>
      <c r="O52">
        <v>26</v>
      </c>
    </row>
    <row r="53" spans="9:16">
      <c r="I53" t="s">
        <v>252</v>
      </c>
      <c r="J53" t="s">
        <v>253</v>
      </c>
      <c r="K53" t="s">
        <v>254</v>
      </c>
      <c r="L53" t="s">
        <v>42</v>
      </c>
      <c r="M53" t="s">
        <v>255</v>
      </c>
      <c r="N53" t="s">
        <v>256</v>
      </c>
      <c r="O53">
        <v>26</v>
      </c>
    </row>
    <row r="54" spans="9:16">
      <c r="I54" t="s">
        <v>257</v>
      </c>
      <c r="J54" t="s">
        <v>258</v>
      </c>
      <c r="K54" t="s">
        <v>259</v>
      </c>
      <c r="L54" t="s">
        <v>30</v>
      </c>
      <c r="M54" t="s">
        <v>260</v>
      </c>
      <c r="N54" t="s">
        <v>261</v>
      </c>
      <c r="O54">
        <v>26</v>
      </c>
      <c r="P54">
        <v>50628</v>
      </c>
    </row>
    <row r="55" spans="9:16">
      <c r="I55" t="s">
        <v>262</v>
      </c>
      <c r="J55" t="s">
        <v>263</v>
      </c>
      <c r="K55" t="s">
        <v>264</v>
      </c>
      <c r="L55" t="s">
        <v>42</v>
      </c>
      <c r="M55" t="s">
        <v>260</v>
      </c>
      <c r="N55" t="s">
        <v>261</v>
      </c>
      <c r="O55">
        <v>26</v>
      </c>
      <c r="P55">
        <v>50606</v>
      </c>
    </row>
    <row r="56" spans="9:16">
      <c r="I56" t="s">
        <v>265</v>
      </c>
      <c r="J56" t="s">
        <v>266</v>
      </c>
      <c r="K56" t="s">
        <v>267</v>
      </c>
      <c r="L56" t="s">
        <v>42</v>
      </c>
      <c r="M56" t="s">
        <v>268</v>
      </c>
      <c r="N56" t="s">
        <v>269</v>
      </c>
      <c r="O56">
        <v>26</v>
      </c>
      <c r="P56">
        <v>50549</v>
      </c>
    </row>
    <row r="57" spans="9:16">
      <c r="I57" t="s">
        <v>270</v>
      </c>
      <c r="J57" t="s">
        <v>271</v>
      </c>
      <c r="K57" t="s">
        <v>272</v>
      </c>
      <c r="L57" t="s">
        <v>30</v>
      </c>
      <c r="M57" t="s">
        <v>273</v>
      </c>
      <c r="N57" t="s">
        <v>274</v>
      </c>
      <c r="O57">
        <v>26</v>
      </c>
      <c r="P57">
        <v>50618</v>
      </c>
    </row>
    <row r="58" spans="9:16">
      <c r="I58" t="s">
        <v>275</v>
      </c>
      <c r="J58" t="s">
        <v>276</v>
      </c>
      <c r="K58" t="s">
        <v>277</v>
      </c>
      <c r="L58" t="s">
        <v>30</v>
      </c>
      <c r="M58" t="s">
        <v>278</v>
      </c>
      <c r="N58" t="s">
        <v>279</v>
      </c>
      <c r="O58">
        <v>26</v>
      </c>
      <c r="P58">
        <v>50229</v>
      </c>
    </row>
    <row r="59" spans="9:16">
      <c r="I59" t="s">
        <v>280</v>
      </c>
      <c r="J59" t="s">
        <v>281</v>
      </c>
      <c r="K59" t="s">
        <v>282</v>
      </c>
      <c r="L59" t="s">
        <v>30</v>
      </c>
      <c r="M59" t="s">
        <v>283</v>
      </c>
      <c r="N59" t="s">
        <v>284</v>
      </c>
      <c r="O59">
        <v>26</v>
      </c>
      <c r="P59">
        <v>50373</v>
      </c>
    </row>
    <row r="60" spans="9:16">
      <c r="I60" t="s">
        <v>285</v>
      </c>
      <c r="J60" t="s">
        <v>286</v>
      </c>
      <c r="K60" t="s">
        <v>287</v>
      </c>
      <c r="L60" t="s">
        <v>42</v>
      </c>
      <c r="M60" t="s">
        <v>283</v>
      </c>
      <c r="N60" t="s">
        <v>284</v>
      </c>
      <c r="O60">
        <v>26</v>
      </c>
      <c r="P60">
        <v>50374</v>
      </c>
    </row>
    <row r="61" spans="9:16">
      <c r="I61" t="s">
        <v>288</v>
      </c>
      <c r="J61" t="s">
        <v>289</v>
      </c>
      <c r="K61" t="s">
        <v>290</v>
      </c>
      <c r="L61" t="s">
        <v>42</v>
      </c>
      <c r="M61" t="s">
        <v>205</v>
      </c>
      <c r="N61" t="s">
        <v>206</v>
      </c>
      <c r="O61">
        <v>26</v>
      </c>
      <c r="P61">
        <v>50615</v>
      </c>
    </row>
    <row r="62" spans="9:16">
      <c r="I62" t="s">
        <v>291</v>
      </c>
      <c r="J62" t="s">
        <v>292</v>
      </c>
      <c r="K62" t="s">
        <v>293</v>
      </c>
      <c r="L62" t="s">
        <v>30</v>
      </c>
      <c r="N62" t="s">
        <v>294</v>
      </c>
      <c r="O62">
        <v>26</v>
      </c>
      <c r="P62">
        <v>50432</v>
      </c>
    </row>
    <row r="63" spans="9:16">
      <c r="I63" t="s">
        <v>295</v>
      </c>
      <c r="J63" t="s">
        <v>296</v>
      </c>
      <c r="K63" t="s">
        <v>297</v>
      </c>
      <c r="L63" t="s">
        <v>30</v>
      </c>
      <c r="M63" t="s">
        <v>298</v>
      </c>
      <c r="N63" t="s">
        <v>299</v>
      </c>
      <c r="O63">
        <v>26</v>
      </c>
      <c r="P63">
        <v>50444</v>
      </c>
    </row>
    <row r="64" spans="9:16">
      <c r="I64" t="s">
        <v>300</v>
      </c>
      <c r="J64" t="s">
        <v>301</v>
      </c>
      <c r="K64" t="s">
        <v>302</v>
      </c>
      <c r="L64" t="s">
        <v>42</v>
      </c>
      <c r="M64" t="s">
        <v>298</v>
      </c>
      <c r="N64" t="s">
        <v>299</v>
      </c>
      <c r="O64">
        <v>26</v>
      </c>
      <c r="P64">
        <v>50443</v>
      </c>
    </row>
    <row r="65" spans="9:17">
      <c r="I65" t="s">
        <v>303</v>
      </c>
      <c r="J65" t="s">
        <v>304</v>
      </c>
      <c r="K65" t="s">
        <v>305</v>
      </c>
      <c r="L65" t="s">
        <v>30</v>
      </c>
      <c r="M65" t="s">
        <v>306</v>
      </c>
      <c r="N65" t="s">
        <v>307</v>
      </c>
      <c r="O65">
        <v>26</v>
      </c>
      <c r="P65">
        <v>50531</v>
      </c>
      <c r="Q65" t="s">
        <v>308</v>
      </c>
    </row>
    <row r="66" spans="9:17">
      <c r="I66" t="s">
        <v>309</v>
      </c>
      <c r="J66" t="s">
        <v>310</v>
      </c>
      <c r="K66" t="s">
        <v>311</v>
      </c>
      <c r="L66" t="s">
        <v>125</v>
      </c>
      <c r="M66" t="s">
        <v>37</v>
      </c>
      <c r="N66" t="s">
        <v>38</v>
      </c>
      <c r="O66">
        <v>26</v>
      </c>
    </row>
    <row r="67" spans="9:17">
      <c r="I67" t="s">
        <v>312</v>
      </c>
      <c r="J67" t="s">
        <v>313</v>
      </c>
      <c r="K67" t="s">
        <v>314</v>
      </c>
      <c r="L67" t="s">
        <v>42</v>
      </c>
      <c r="M67" t="s">
        <v>37</v>
      </c>
      <c r="N67" t="s">
        <v>38</v>
      </c>
      <c r="O67">
        <v>26</v>
      </c>
    </row>
    <row r="68" spans="9:17">
      <c r="I68" t="s">
        <v>315</v>
      </c>
      <c r="J68" t="s">
        <v>316</v>
      </c>
      <c r="K68" t="s">
        <v>317</v>
      </c>
      <c r="L68" t="s">
        <v>125</v>
      </c>
      <c r="M68" t="s">
        <v>306</v>
      </c>
      <c r="N68" t="s">
        <v>307</v>
      </c>
      <c r="O68">
        <v>26</v>
      </c>
      <c r="P68">
        <v>50601</v>
      </c>
      <c r="Q68" t="s">
        <v>318</v>
      </c>
    </row>
    <row r="69" spans="9:17">
      <c r="I69" t="s">
        <v>319</v>
      </c>
      <c r="J69" t="s">
        <v>320</v>
      </c>
      <c r="K69" t="s">
        <v>321</v>
      </c>
      <c r="L69" t="s">
        <v>30</v>
      </c>
      <c r="M69" t="s">
        <v>306</v>
      </c>
      <c r="N69" t="s">
        <v>307</v>
      </c>
      <c r="O69">
        <v>26</v>
      </c>
      <c r="P69">
        <v>50600</v>
      </c>
      <c r="Q69" t="s">
        <v>322</v>
      </c>
    </row>
    <row r="70" spans="9:17">
      <c r="I70" t="s">
        <v>323</v>
      </c>
      <c r="J70" t="s">
        <v>324</v>
      </c>
      <c r="K70" t="s">
        <v>325</v>
      </c>
      <c r="L70" t="s">
        <v>42</v>
      </c>
      <c r="M70" t="s">
        <v>326</v>
      </c>
      <c r="N70" t="s">
        <v>327</v>
      </c>
      <c r="O70">
        <v>26</v>
      </c>
    </row>
    <row r="71" spans="9:17">
      <c r="I71" t="s">
        <v>328</v>
      </c>
      <c r="J71" t="s">
        <v>329</v>
      </c>
      <c r="K71" t="s">
        <v>330</v>
      </c>
      <c r="L71" t="s">
        <v>30</v>
      </c>
      <c r="M71" t="s">
        <v>326</v>
      </c>
      <c r="N71" t="s">
        <v>327</v>
      </c>
      <c r="O71">
        <v>26</v>
      </c>
    </row>
    <row r="72" spans="9:17">
      <c r="I72" t="s">
        <v>331</v>
      </c>
      <c r="J72" t="s">
        <v>332</v>
      </c>
      <c r="K72" t="s">
        <v>333</v>
      </c>
      <c r="L72" t="s">
        <v>42</v>
      </c>
      <c r="M72" t="s">
        <v>334</v>
      </c>
      <c r="N72" t="s">
        <v>335</v>
      </c>
      <c r="O72">
        <v>26</v>
      </c>
      <c r="P72">
        <v>50560</v>
      </c>
    </row>
    <row r="73" spans="9:17">
      <c r="I73" t="s">
        <v>336</v>
      </c>
      <c r="J73" t="s">
        <v>337</v>
      </c>
      <c r="K73" t="s">
        <v>338</v>
      </c>
      <c r="L73" t="s">
        <v>42</v>
      </c>
      <c r="M73" t="s">
        <v>339</v>
      </c>
      <c r="N73" t="s">
        <v>340</v>
      </c>
      <c r="O73">
        <v>26</v>
      </c>
      <c r="P73">
        <v>50579</v>
      </c>
    </row>
    <row r="74" spans="9:17">
      <c r="I74" t="s">
        <v>341</v>
      </c>
      <c r="J74" t="s">
        <v>342</v>
      </c>
      <c r="K74" t="s">
        <v>343</v>
      </c>
      <c r="L74" t="s">
        <v>42</v>
      </c>
      <c r="M74" t="s">
        <v>344</v>
      </c>
      <c r="N74" t="s">
        <v>345</v>
      </c>
      <c r="O74">
        <v>26</v>
      </c>
      <c r="P74">
        <v>50231</v>
      </c>
    </row>
    <row r="75" spans="9:17">
      <c r="I75" t="s">
        <v>346</v>
      </c>
      <c r="J75" t="s">
        <v>347</v>
      </c>
      <c r="K75" t="s">
        <v>348</v>
      </c>
      <c r="L75" t="s">
        <v>42</v>
      </c>
      <c r="M75" t="s">
        <v>349</v>
      </c>
      <c r="N75" t="s">
        <v>350</v>
      </c>
      <c r="O75">
        <v>26</v>
      </c>
      <c r="P75">
        <v>50623</v>
      </c>
      <c r="Q75" t="s">
        <v>351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6D8D2C-8401-4D7D-8B32-BD031F6A9D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Summary</vt:lpstr>
      <vt:lpstr>{Component}</vt:lpstr>
      <vt:lpstr>_Master_Ref</vt:lpstr>
      <vt:lpstr>FactoryList</vt:lpstr>
      <vt:lpstr>MoldComponentList</vt:lpstr>
      <vt:lpstr>MoldCondition</vt:lpstr>
      <vt:lpstr>MoldOwnership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Tai</dc:creator>
  <cp:lastModifiedBy>Le, Tai</cp:lastModifiedBy>
  <dcterms:created xsi:type="dcterms:W3CDTF">2026-05-26T06:32:04Z</dcterms:created>
  <dcterms:modified xsi:type="dcterms:W3CDTF">2026-06-02T09:44:17Z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72c556-13e8-4aa2-bb93-87d2746fe306_Enabled">
    <vt:lpwstr>true</vt:lpwstr>
  </property>
  <property fmtid="{D5CDD505-2E9C-101B-9397-08002B2CF9AE}" pid="3" name="MSIP_Label_6372c556-13e8-4aa2-bb93-87d2746fe306_SetDate">
    <vt:lpwstr>2026-05-26T06:33:17Z</vt:lpwstr>
  </property>
  <property fmtid="{D5CDD505-2E9C-101B-9397-08002B2CF9AE}" pid="4" name="MSIP_Label_6372c556-13e8-4aa2-bb93-87d2746fe306_Method">
    <vt:lpwstr>Standard</vt:lpwstr>
  </property>
  <property fmtid="{D5CDD505-2E9C-101B-9397-08002B2CF9AE}" pid="5" name="MSIP_Label_6372c556-13e8-4aa2-bb93-87d2746fe306_Name">
    <vt:lpwstr>6372c556-13e8-4aa2-bb93-87d2746fe306</vt:lpwstr>
  </property>
  <property fmtid="{D5CDD505-2E9C-101B-9397-08002B2CF9AE}" pid="6" name="MSIP_Label_6372c556-13e8-4aa2-bb93-87d2746fe306_SiteId">
    <vt:lpwstr>deace5d6-717b-4f79-ab12-6357206c0c36</vt:lpwstr>
  </property>
  <property fmtid="{D5CDD505-2E9C-101B-9397-08002B2CF9AE}" pid="7" name="MSIP_Label_6372c556-13e8-4aa2-bb93-87d2746fe306_ActionId">
    <vt:lpwstr>5264d71f-caed-4f13-aa05-40f8fac4d66b</vt:lpwstr>
  </property>
  <property fmtid="{D5CDD505-2E9C-101B-9397-08002B2CF9AE}" pid="8" name="MSIP_Label_6372c556-13e8-4aa2-bb93-87d2746fe306_ContentBits">
    <vt:lpwstr>0</vt:lpwstr>
  </property>
  <property fmtid="{D5CDD505-2E9C-101B-9397-08002B2CF9AE}" pid="9" name="MSIP_Label_6372c556-13e8-4aa2-bb93-87d2746fe306_Tag">
    <vt:lpwstr>10, 3, 0, 1</vt:lpwstr>
  </property>
</Properties>
</file>