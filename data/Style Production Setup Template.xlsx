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wwwinc-my.sharepoint.com/personal/tai_le_wwwinc_com/Documents/Desktop/OSMS data tempalte/"/>
    </mc:Choice>
  </mc:AlternateContent>
  <xr:revisionPtr revIDLastSave="1248" documentId="8_{046AC82F-7A82-4810-9451-216782AE2B88}" xr6:coauthVersionLast="47" xr6:coauthVersionMax="47" xr10:uidLastSave="{E20C2069-F347-4EFD-8CBA-7663134DFD06}"/>
  <bookViews>
    <workbookView xWindow="-120" yWindow="-120" windowWidth="51840" windowHeight="21120" tabRatio="668" activeTab="3" xr2:uid="{E38AB4E0-6FD3-451D-8197-7DFCB9C70E43}"/>
  </bookViews>
  <sheets>
    <sheet name="README" sheetId="5" r:id="rId1"/>
    <sheet name="MOLD_BASIC_INFO" sheetId="6" r:id="rId2"/>
    <sheet name="SOURCING_RULE" sheetId="9" r:id="rId3"/>
    <sheet name="MOLD_LIST_OS1" sheetId="10" r:id="rId4"/>
    <sheet name="MOLD_LIST_MS1" sheetId="18" r:id="rId5"/>
    <sheet name="MOLD_LIST_MS2" sheetId="19" r:id="rId6"/>
    <sheet name="MOLD_LIST_MS3" sheetId="20" r:id="rId7"/>
    <sheet name="Vendor &amp; Factory Master" sheetId="12" r:id="rId8"/>
  </sheets>
  <definedNames>
    <definedName name="_FactoryName" localSheetId="4">_dimFactory[Factory Name]</definedName>
    <definedName name="_FactoryName" localSheetId="5">_dimFactory[Factory Name]</definedName>
    <definedName name="_FactoryName" localSheetId="6">_dimFactory[Factory Name]</definedName>
    <definedName name="_FactoryName">_dimFactory[Factory Name]</definedName>
    <definedName name="_xlnm._FilterDatabase" localSheetId="4" hidden="1">MOLD_LIST_MS1!$A$7:$C$18</definedName>
    <definedName name="_xlnm._FilterDatabase" localSheetId="5" hidden="1">MOLD_LIST_MS2!$A$7:$C$18</definedName>
    <definedName name="_xlnm._FilterDatabase" localSheetId="6" hidden="1">MOLD_LIST_MS3!$A$7:$C$18</definedName>
    <definedName name="_xlnm._FilterDatabase" localSheetId="3" hidden="1">MOLD_LIST_OS1!$A$7:$D$18</definedName>
    <definedName name="_VenShortName" localSheetId="4">_dimVendor[Vendor Short Name]</definedName>
    <definedName name="_VenShortName" localSheetId="5">_dimVendor[Vendor Short Name]</definedName>
    <definedName name="_VenShortName" localSheetId="6">_dimVendor[Vendor Short Name]</definedName>
    <definedName name="_VenShortName">_dimVendor[Vendor Short 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0" l="1"/>
  <c r="C6" i="20"/>
  <c r="D5" i="20"/>
  <c r="C5" i="20"/>
  <c r="D6" i="19"/>
  <c r="C6" i="19"/>
  <c r="D5" i="19"/>
  <c r="C5" i="19"/>
  <c r="D5" i="18"/>
  <c r="D6" i="18"/>
  <c r="C6" i="18"/>
  <c r="C5" i="18"/>
  <c r="E6" i="10"/>
  <c r="E5" i="10"/>
  <c r="D5" i="10"/>
  <c r="D6" i="10"/>
  <c r="A8" i="9" l="1"/>
  <c r="A9" i="9"/>
  <c r="A10" i="9"/>
  <c r="B2" i="12" l="1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C5" i="9" a="1"/>
  <c r="C5" i="9" s="1"/>
  <c r="E8" i="6" l="1"/>
  <c r="E9" i="6"/>
  <c r="E10" i="6"/>
  <c r="E7" i="6"/>
  <c r="C6" i="9" l="1" a="1"/>
  <c r="C6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<sst xmlns="http://schemas.openxmlformats.org/spreadsheetml/2006/main" count="516" uniqueCount="267">
  <si>
    <t>Component Defination Table</t>
  </si>
  <si>
    <t>Component Name</t>
  </si>
  <si>
    <t>MOLD CODE</t>
  </si>
  <si>
    <t>Sole Type</t>
  </si>
  <si>
    <t>Outsole</t>
  </si>
  <si>
    <t>OS1 (Top)</t>
  </si>
  <si>
    <t>Midsole</t>
  </si>
  <si>
    <t>MS1 (Top)</t>
  </si>
  <si>
    <t>MS2 (Bottom)</t>
  </si>
  <si>
    <t>MS3 (Heel)</t>
  </si>
  <si>
    <t>Status</t>
  </si>
  <si>
    <t>Key</t>
  </si>
  <si>
    <t>BRAND</t>
  </si>
  <si>
    <t>SAUCONY</t>
  </si>
  <si>
    <t>Compound</t>
  </si>
  <si>
    <t>Rubber</t>
  </si>
  <si>
    <t>CMEVA</t>
  </si>
  <si>
    <t>Style Usage Table</t>
  </si>
  <si>
    <t>Style Name</t>
  </si>
  <si>
    <t>PROGRID OMNI 9</t>
  </si>
  <si>
    <t>PROGRID OMNI 9 (JAPAN SMU)</t>
  </si>
  <si>
    <t>PROGRID OMNI 9 (TOKYO SMU)</t>
  </si>
  <si>
    <t>PROGRID OMNI 9 ARMOR</t>
  </si>
  <si>
    <t>Factory Number</t>
  </si>
  <si>
    <t>Factory Name</t>
  </si>
  <si>
    <t>Vendor ID</t>
  </si>
  <si>
    <t>SA-2307</t>
  </si>
  <si>
    <t>Comp. Code</t>
  </si>
  <si>
    <t>PT YOUNG TREE INDUSTRIES</t>
  </si>
  <si>
    <t>Sabina</t>
  </si>
  <si>
    <t>RIGHT RICH INTERNATIONAL CO LTD</t>
  </si>
  <si>
    <t>MAY PHONG ENTERPRISE COMPANY LTD</t>
  </si>
  <si>
    <t>Part Name</t>
  </si>
  <si>
    <t>Location</t>
  </si>
  <si>
    <t>Stella - ID (Sabina)</t>
  </si>
  <si>
    <t>GiaJiu - VN (SuccessProsperity)</t>
  </si>
  <si>
    <t>FTY000520</t>
  </si>
  <si>
    <t>Fine Chemical Dongguan Co.,Ltd</t>
  </si>
  <si>
    <t>CN</t>
  </si>
  <si>
    <t>SUP000276</t>
  </si>
  <si>
    <t>FineChemical</t>
  </si>
  <si>
    <t>FTY000826</t>
  </si>
  <si>
    <t>PT. Sun Bright Lestari</t>
  </si>
  <si>
    <t>ID</t>
  </si>
  <si>
    <t>SUP000419</t>
  </si>
  <si>
    <t>Fulgent Sun</t>
  </si>
  <si>
    <t>FTY000513</t>
  </si>
  <si>
    <t>Galli International Industrial (Vietnam)</t>
  </si>
  <si>
    <t>VN</t>
  </si>
  <si>
    <t>SUP000277</t>
  </si>
  <si>
    <t>Galli</t>
  </si>
  <si>
    <t>FTY000475</t>
  </si>
  <si>
    <t>Try On Shoe Material (BD) Ltd</t>
  </si>
  <si>
    <t>BD</t>
  </si>
  <si>
    <t>SUP000278</t>
  </si>
  <si>
    <t>GiaJiu</t>
  </si>
  <si>
    <t>TryOn</t>
  </si>
  <si>
    <t>FTY000484</t>
  </si>
  <si>
    <t>Joyful Sunshine Limited (Fortune Art)</t>
  </si>
  <si>
    <t>FortuneArt/Joyful</t>
  </si>
  <si>
    <t>FTY000688</t>
  </si>
  <si>
    <t>GiaChiu Co., Ltd - Vietnam</t>
  </si>
  <si>
    <t>GiaChiu</t>
  </si>
  <si>
    <t>FTY000594</t>
  </si>
  <si>
    <t>Success Prosperity Shoe Material Co.,Ltd</t>
  </si>
  <si>
    <t>SuccessProsperity</t>
  </si>
  <si>
    <t>FTY000614</t>
  </si>
  <si>
    <t>Dazzling Asia Limited (Try On Vn)</t>
  </si>
  <si>
    <t>FTY000666</t>
  </si>
  <si>
    <t xml:space="preserve">Golden Sky Footwear Co., Ltd </t>
  </si>
  <si>
    <t>SUP000279</t>
  </si>
  <si>
    <t>GoldenSky</t>
  </si>
  <si>
    <t>FTY000645</t>
  </si>
  <si>
    <t>DongGuan QianHui Shoe Materials Co., Ltd</t>
  </si>
  <si>
    <t>FTY000480</t>
  </si>
  <si>
    <t>Fujian Xingxun New Materials Technology Co.,Ltd</t>
  </si>
  <si>
    <t>SUP000248</t>
  </si>
  <si>
    <t>GuoSheng</t>
  </si>
  <si>
    <t>FTY000773</t>
  </si>
  <si>
    <t>Vietnam Xingxun Industry Limited</t>
  </si>
  <si>
    <t>FTY000575</t>
  </si>
  <si>
    <t xml:space="preserve">Qz Hengmao Plastic Co.,Ltd </t>
  </si>
  <si>
    <t>SUP000282</t>
  </si>
  <si>
    <t>JiaTai</t>
  </si>
  <si>
    <t>HengMao</t>
  </si>
  <si>
    <t>FTY000658</t>
  </si>
  <si>
    <t>ZhongShan JiaYu Plastic Products Co.,Ltd</t>
  </si>
  <si>
    <t>SUP000127</t>
  </si>
  <si>
    <t>JiaYu</t>
  </si>
  <si>
    <t>FTY000644</t>
  </si>
  <si>
    <t>JiaYu International Industrial (VN) - Vietnam</t>
  </si>
  <si>
    <t>FTY000319</t>
  </si>
  <si>
    <t>Join Win Footwear (ZhongShan) Co.,Ltd</t>
  </si>
  <si>
    <t>SUP000249</t>
  </si>
  <si>
    <t>JoinWin</t>
  </si>
  <si>
    <t>FTY000410</t>
  </si>
  <si>
    <t>Join Win (Vietnam) Limited Company</t>
  </si>
  <si>
    <t>FTY000616</t>
  </si>
  <si>
    <t>FoShan JunYi Shoes Co., Ltd</t>
  </si>
  <si>
    <t>SUP000285</t>
  </si>
  <si>
    <t>JunYi</t>
  </si>
  <si>
    <t>FTY000696</t>
  </si>
  <si>
    <t>Phuc Hoang One Member Co., Ltd</t>
  </si>
  <si>
    <t>FTY000654</t>
  </si>
  <si>
    <t>FuJian LongSheng Light Indsutry Co., Ltd</t>
  </si>
  <si>
    <t>SUP000289</t>
  </si>
  <si>
    <t>LongSheng</t>
  </si>
  <si>
    <t>FTY000686</t>
  </si>
  <si>
    <t>The Inheritance (Cambodia), Co, Ltd</t>
  </si>
  <si>
    <t>KH</t>
  </si>
  <si>
    <t>SUP000290</t>
  </si>
  <si>
    <t>MayorBean</t>
  </si>
  <si>
    <t>FTY000427</t>
  </si>
  <si>
    <t>Han Thai Shoes Accessories Company Limited</t>
  </si>
  <si>
    <t>HanThai</t>
  </si>
  <si>
    <t>FTY000667</t>
  </si>
  <si>
    <t>Quang Thai Co.,Ltd</t>
  </si>
  <si>
    <t>QuangThai</t>
  </si>
  <si>
    <t>FTY000050</t>
  </si>
  <si>
    <t>Enping Meratech Advance Material Co., Ltd</t>
  </si>
  <si>
    <t>SUP000252</t>
  </si>
  <si>
    <t>Meramec</t>
  </si>
  <si>
    <t>FTY000471</t>
  </si>
  <si>
    <t>PengHui Material Factory</t>
  </si>
  <si>
    <t>SUP000254</t>
  </si>
  <si>
    <t>PengHui</t>
  </si>
  <si>
    <t>FTY000496</t>
  </si>
  <si>
    <t>PengHui Material Factory VN</t>
  </si>
  <si>
    <t>FTY000481</t>
  </si>
  <si>
    <t>DongGuan PinXiang Shoe Materials Co.,Ltd</t>
  </si>
  <si>
    <t>SUP000291</t>
  </si>
  <si>
    <t>PinXiang</t>
  </si>
  <si>
    <t>FTY000599</t>
  </si>
  <si>
    <t>Vietnam PinXiang Shoe Materials Co .,Ltd</t>
  </si>
  <si>
    <t>FTY000500</t>
  </si>
  <si>
    <t>Pouyuen Vietnam Company Limited</t>
  </si>
  <si>
    <t>SUP000292</t>
  </si>
  <si>
    <t>PouYuen</t>
  </si>
  <si>
    <t>FTY000532</t>
  </si>
  <si>
    <t>RongDa International Enterprise Ltd</t>
  </si>
  <si>
    <t>SUP000255</t>
  </si>
  <si>
    <t>RongDa</t>
  </si>
  <si>
    <t>FTY000547</t>
  </si>
  <si>
    <t>ZhongShan RongDa Shoe Material Co., Ltd</t>
  </si>
  <si>
    <t>FTY000725</t>
  </si>
  <si>
    <t>Pt.Shengnu Sports Products Indonesia</t>
  </si>
  <si>
    <t>SUP000365</t>
  </si>
  <si>
    <t>ShengNuo</t>
  </si>
  <si>
    <t>FTY000720</t>
  </si>
  <si>
    <t>Pt. Young Tree Industries</t>
  </si>
  <si>
    <t>SUP000363</t>
  </si>
  <si>
    <t>Stella</t>
  </si>
  <si>
    <t>FTY000712</t>
  </si>
  <si>
    <t>PT. SungShin Indonesia</t>
  </si>
  <si>
    <t>SUP000357</t>
  </si>
  <si>
    <t>SungShin</t>
  </si>
  <si>
    <t>FTY000710</t>
  </si>
  <si>
    <t>SungShin A II Vietnam CO., LTD</t>
  </si>
  <si>
    <t>FTY000615</t>
  </si>
  <si>
    <t>Tbs Group.Co</t>
  </si>
  <si>
    <t>SUP000333</t>
  </si>
  <si>
    <t>TBS</t>
  </si>
  <si>
    <t>FTY000741</t>
  </si>
  <si>
    <t>China Vibram Company Limited</t>
  </si>
  <si>
    <t>SUP000299</t>
  </si>
  <si>
    <t>Vibram</t>
  </si>
  <si>
    <t>FTY000742</t>
  </si>
  <si>
    <t>Vietnam Vibram Company Limited</t>
  </si>
  <si>
    <t>FTY000617</t>
  </si>
  <si>
    <t>WanFu (Vietnam) Shoes Meterials Co., Ltd</t>
  </si>
  <si>
    <t>SUP000300</t>
  </si>
  <si>
    <t>WanFu</t>
  </si>
  <si>
    <t>FTY000650</t>
  </si>
  <si>
    <t>DongGuan XingTaiLai Sports Products Co.,Ltd</t>
  </si>
  <si>
    <t>SUP000218</t>
  </si>
  <si>
    <t>XingTaiLai</t>
  </si>
  <si>
    <t>FTY000632</t>
  </si>
  <si>
    <t>XingTaiLai Sports Products Co.,Ltd</t>
  </si>
  <si>
    <t>FTY000726</t>
  </si>
  <si>
    <t>YeiJer Industrial Co. Ltd</t>
  </si>
  <si>
    <t>SUP000259</t>
  </si>
  <si>
    <t>YeiJer</t>
  </si>
  <si>
    <t>FTY000641</t>
  </si>
  <si>
    <t>FoShan NanHai YeiJer Shoe Parts Co., Ltd</t>
  </si>
  <si>
    <t>FTY000438</t>
  </si>
  <si>
    <t>YeiJer Shoe Parts Co.Ltd</t>
  </si>
  <si>
    <t>FTY000630</t>
  </si>
  <si>
    <t>HuiZhou YiXin Sports Equipment Co,. Ltd</t>
  </si>
  <si>
    <t>SUP000302</t>
  </si>
  <si>
    <t>Yixin</t>
  </si>
  <si>
    <t>FTY000772</t>
  </si>
  <si>
    <t>PT YiXin Maju Indonesia</t>
  </si>
  <si>
    <t>FTY000580</t>
  </si>
  <si>
    <t>YiYing (QingYuan) Foamed Materials Co.,Ltd</t>
  </si>
  <si>
    <t>SUP000303</t>
  </si>
  <si>
    <t>YiYing</t>
  </si>
  <si>
    <t>FTY000538</t>
  </si>
  <si>
    <t>Winner (Vietnam) Shoe Material Co.,Ltd</t>
  </si>
  <si>
    <t>FTY000551</t>
  </si>
  <si>
    <t>YiZhu Chemistry Co.,Ltd</t>
  </si>
  <si>
    <t>SUP000260</t>
  </si>
  <si>
    <t>YiZhu</t>
  </si>
  <si>
    <t>FTY000715</t>
  </si>
  <si>
    <t>Karnaphuli Shoes Industries Ltd.</t>
  </si>
  <si>
    <t>SUP000389</t>
  </si>
  <si>
    <t>YoungOne</t>
  </si>
  <si>
    <t>FTY000958</t>
  </si>
  <si>
    <t>Vietnam Yuesheng Shoe Material Co.,Ltd.</t>
  </si>
  <si>
    <t>SUP000273</t>
  </si>
  <si>
    <t>YueSheng</t>
  </si>
  <si>
    <t>FTY000530</t>
  </si>
  <si>
    <t>GuangZhou Z And W Rubber Co.,Ltd</t>
  </si>
  <si>
    <t>SUP000304</t>
  </si>
  <si>
    <t>ZengWei</t>
  </si>
  <si>
    <t>FTY000596</t>
  </si>
  <si>
    <t>Vietnam Tanaway Co.,Ltd</t>
  </si>
  <si>
    <t>FTY000432</t>
  </si>
  <si>
    <t>ZhuRui (Vietnam) Co., Ltd</t>
  </si>
  <si>
    <t>SUP000269</t>
  </si>
  <si>
    <t>ZhuRui</t>
  </si>
  <si>
    <t>Vendor Short Name</t>
  </si>
  <si>
    <t>Vendor Full Name</t>
  </si>
  <si>
    <t>Vendor Group ID</t>
  </si>
  <si>
    <t>Vendor Group</t>
  </si>
  <si>
    <t>wDay pMonth</t>
  </si>
  <si>
    <t>Facility_ID</t>
  </si>
  <si>
    <t>Special Name</t>
  </si>
  <si>
    <t>Factory Country</t>
  </si>
  <si>
    <t>Factory Group Key</t>
  </si>
  <si>
    <t>Factory Group Name</t>
  </si>
  <si>
    <t>KARNAPHULI SHOES INDUSTRIES LTD.</t>
  </si>
  <si>
    <t>YGO</t>
  </si>
  <si>
    <t>YOUNG ONE</t>
  </si>
  <si>
    <t>P. T. YOUNG TREE INDUSTRIES(SUKOHAR</t>
  </si>
  <si>
    <t>STG</t>
  </si>
  <si>
    <t>STELLA GROUP</t>
  </si>
  <si>
    <t>QUANZHOU JIATAI SHOES CO LTD</t>
  </si>
  <si>
    <t>JTI</t>
  </si>
  <si>
    <t>JIATAI</t>
  </si>
  <si>
    <t>GIA THAI (VIETNAM) COMPANY LIMITED</t>
  </si>
  <si>
    <t>RRG</t>
  </si>
  <si>
    <t>RIGHT RICH GROUP</t>
  </si>
  <si>
    <t>PT. SUN BRIGHT LESTARI</t>
  </si>
  <si>
    <t>3.5 &amp; 4</t>
  </si>
  <si>
    <t>4.5 &amp; 5</t>
  </si>
  <si>
    <t>5.5 &amp; 6</t>
  </si>
  <si>
    <t>6.5 &amp; 7</t>
  </si>
  <si>
    <t>7.5 &amp; 8</t>
  </si>
  <si>
    <t>8.5 &amp; 9</t>
  </si>
  <si>
    <t>9.5 &amp; 10</t>
  </si>
  <si>
    <t>10.5 &amp; 11</t>
  </si>
  <si>
    <t>11.5 &amp; 12</t>
  </si>
  <si>
    <t>12.5 &amp; 13</t>
  </si>
  <si>
    <t>Sizes Cover</t>
  </si>
  <si>
    <t>OS1 (Top) Vendor</t>
  </si>
  <si>
    <t>MS1 (Top) Vendor</t>
  </si>
  <si>
    <t>MS2 (Bottom) Vendor</t>
  </si>
  <si>
    <t>MS3 (Heel) Vendor</t>
  </si>
  <si>
    <t>No Fill</t>
  </si>
  <si>
    <t>Vendor Not in Vendor Master</t>
  </si>
  <si>
    <t>Vendor Found in Vendor Master</t>
  </si>
  <si>
    <t>GiaJiu - VN (GiaChiu)</t>
  </si>
  <si>
    <t>MS1</t>
  </si>
  <si>
    <t>COMPONENT</t>
  </si>
  <si>
    <t>OS1</t>
  </si>
  <si>
    <t>MS2</t>
  </si>
  <si>
    <t>Mold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</si>
</sst>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theme="1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4" borderId="2" xfId="0" applyFill="1" applyBorder="1"/>
    <xf numFmtId="0" fontId="0" fillId="4" borderId="2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0" xfId="0" applyFill="1"/>
    <xf numFmtId="0" fontId="0" fillId="6" borderId="0" xfId="0" applyFill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Font="1" applyBorder="1"/>
    <xf numFmtId="0" fontId="0" fillId="0" borderId="5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4" fillId="7" borderId="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/>
  </cellXfs>
  <cellStyles count="1">
    <cellStyle name="Normal" xfId="0" builtinId="0"/>
  </cellStyles>
  <dxfs count="19">
    <dxf>
      <fill>
        <patternFill>
          <bgColor rgb="FF92D050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1" tint="0.499984740745262"/>
        </patternFill>
      </fill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1A603-6722-468B-8D7B-D4A1BAA03955}" name="Table1" displayName="Table1" ref="A6:F10" totalsRowShown="0">
  <autoFilter ref="A6:F10" xr:uid="{DE61A603-6722-468B-8D7B-D4A1BAA03955}"/>
  <tableColumns count="6">
    <tableColumn id="1" xr3:uid="{63EB8869-496A-41F4-AD63-FFE1D87478D4}" name="Sole Type"/>
    <tableColumn id="2" xr3:uid="{C8247BE7-22E3-44F3-BAAE-46887A8DF0E6}" name="Component Name"/>
    <tableColumn id="3" xr3:uid="{AE5CC1CF-9499-46F6-809E-B4B545F98F9C}" name="Comp. Code" dataDxfId="18"/>
    <tableColumn id="4" xr3:uid="{DF81E5E9-606F-4ED2-A1FB-15471CF3101A}" name="Status"/>
    <tableColumn id="5" xr3:uid="{893B515A-BCED-4103-A12F-2A49F24CA66B}" name="Key" dataDxfId="17">
      <calculatedColumnFormula>IF(Table1[[#This Row],[Status]],_xlfn.TEXTJOIN(".",,$B$2,C7),"")</calculatedColumnFormula>
    </tableColumn>
    <tableColumn id="7" xr3:uid="{EAEEC4A5-BAC1-4C9A-8481-0525A4A05F72}" name="Compoun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B1D7E9-1959-4F32-A239-058DF94B771A}" name="Table2" displayName="Table2" ref="I6:J10" totalsRowShown="0">
  <autoFilter ref="I6:J10" xr:uid="{57B1D7E9-1959-4F32-A239-058DF94B771A}"/>
  <tableColumns count="2">
    <tableColumn id="1" xr3:uid="{AE938273-ADAF-483D-A6B1-978B8CB90263}" name="Style Name"/>
    <tableColumn id="2" xr3:uid="{4F31212D-3198-44D7-BF1F-1A8C63D380C7}" name="Status" dataDxfId="1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F4BF92-6ADE-428B-BF0F-CD56A558C585}" name="_dimVendor" displayName="_dimVendor" ref="A1:I55" totalsRowShown="0" headerRowDxfId="15" dataDxfId="14">
  <autoFilter ref="A1:I55" xr:uid="{A6F4BF92-6ADE-428B-BF0F-CD56A558C585}"/>
  <sortState xmlns:xlrd2="http://schemas.microsoft.com/office/spreadsheetml/2017/richdata2" ref="A2:I55">
    <sortCondition ref="B1:B55"/>
  </sortState>
  <tableColumns count="9">
    <tableColumn id="1" xr3:uid="{5D7B2090-75F7-4D53-886F-D5C029E7780D}" name="Vendor ID" dataDxfId="13"/>
    <tableColumn id="2" xr3:uid="{BA4F1793-FACA-4112-A322-52DB51CEA3FA}" name="Vendor Short Name" dataDxfId="12">
      <calculatedColumnFormula>_dimVendor[[#This Row],[Vendor Group]]&amp; " - "&amp;_dimVendor[[#This Row],[Location]]&amp;IF(NOT(ISBLANK(_dimVendor[[#This Row],[Special Name]]))," ("&amp;_dimVendor[[#This Row],[Special Name]]&amp;")",)</calculatedColumnFormula>
    </tableColumn>
    <tableColumn id="3" xr3:uid="{C20EB2FE-249B-4C72-BA1B-E274920840A6}" name="Vendor Full Name" dataDxfId="11"/>
    <tableColumn id="4" xr3:uid="{384CB6E6-655C-4707-970E-3588D9DFCF0D}" name="Location" dataDxfId="10"/>
    <tableColumn id="5" xr3:uid="{09FDDC7D-5FA7-45F8-AD09-BC38260C08AA}" name="Vendor Group ID" dataDxfId="9"/>
    <tableColumn id="6" xr3:uid="{421769E4-9C6F-45B1-928C-39A490D493D3}" name="Vendor Group" dataDxfId="8"/>
    <tableColumn id="7" xr3:uid="{DC9313C2-5C39-4EE7-86F0-AD9D5E81A5D0}" name="wDay pMonth" dataDxfId="7"/>
    <tableColumn id="8" xr3:uid="{ECA7E425-A498-463F-97DC-2AD3998E223D}" name="Facility_ID" dataDxfId="6"/>
    <tableColumn id="9" xr3:uid="{9FEBB077-2EBB-4367-A94C-C95D89511062}" name="Special Name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561E15-04CD-4C8A-96D0-B31D6FE586B5}" name="_dimFactory" displayName="_dimFactory" ref="K1:O9" totalsRowShown="0">
  <autoFilter ref="K1:O9" xr:uid="{E4561E15-04CD-4C8A-96D0-B31D6FE586B5}"/>
  <tableColumns count="5">
    <tableColumn id="1" xr3:uid="{6D067C8C-A306-42C6-BA77-EEDDF130F738}" name="Factory Number"/>
    <tableColumn id="2" xr3:uid="{FE3DCA60-BB2B-4DF0-AADB-B195F20F7190}" name="Factory Name"/>
    <tableColumn id="3" xr3:uid="{E7ABF7C2-368B-47C6-BF78-5DD918626C57}" name="Factory Country"/>
    <tableColumn id="4" xr3:uid="{D9B612A6-2004-45E1-ACF1-2A7AD208FBC9}" name="Factory Group Key"/>
    <tableColumn id="5" xr3:uid="{BF1CD05D-CE8D-4FB7-B369-9676D31C3223}" name="Factory Group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3FF4-9EF1-4C84-A9AD-3DC9F2A3BA91}">
  <dimension ref="A1"/>
  <sheetViews>
    <sheetView workbookViewId="0">
      <selection activeCell="F35" sqref="F35"/>
    </sheetView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D85C-2178-4EC0-8BE2-0213AD9838F4}">
  <dimension ref="A1:J10"/>
  <sheetViews>
    <sheetView workbookViewId="0">
      <selection activeCell="I11" sqref="I11"/>
    </sheetView>
  </sheetViews>
  <sheetFormatPr defaultRowHeight="14.25"/>
  <cols>
    <col min="1" max="1" width="12.25" bestFit="1" customWidth="1"/>
    <col min="2" max="2" width="20" bestFit="1" customWidth="1"/>
    <col min="3" max="3" width="14.625" bestFit="1" customWidth="1"/>
    <col min="4" max="4" width="9" bestFit="1" customWidth="1"/>
    <col min="5" max="5" width="10.375" bestFit="1" customWidth="1"/>
    <col min="6" max="6" width="16.125" customWidth="1"/>
    <col min="9" max="9" width="28.625" bestFit="1" customWidth="1"/>
    <col min="10" max="10" width="9" bestFit="1" customWidth="1"/>
  </cols>
  <sheetData>
    <row r="1" spans="1:10" ht="15">
      <c r="A1" s="3" t="s">
        <v>12</v>
      </c>
      <c r="B1" s="4" t="s">
        <v>13</v>
      </c>
    </row>
    <row r="2" spans="1:10" ht="15">
      <c r="A2" s="3" t="s">
        <v>2</v>
      </c>
      <c r="B2" s="4" t="s">
        <v>26</v>
      </c>
    </row>
    <row r="5" spans="1:10">
      <c r="A5" s="31" t="s">
        <v>0</v>
      </c>
      <c r="B5" s="31"/>
      <c r="C5" s="31"/>
      <c r="D5" s="31"/>
      <c r="E5" s="31"/>
      <c r="F5" s="31"/>
      <c r="I5" s="31" t="s">
        <v>17</v>
      </c>
      <c r="J5" s="31"/>
    </row>
    <row r="6" spans="1:10">
      <c r="A6" t="s">
        <v>3</v>
      </c>
      <c r="B6" t="s">
        <v>1</v>
      </c>
      <c r="C6" t="s">
        <v>27</v>
      </c>
      <c r="D6" t="s">
        <v>10</v>
      </c>
      <c r="E6" t="s">
        <v>11</v>
      </c>
      <c r="F6" t="s">
        <v>14</v>
      </c>
      <c r="I6" t="s">
        <v>18</v>
      </c>
      <c r="J6" t="s">
        <v>10</v>
      </c>
    </row>
    <row r="7" spans="1:10">
      <c r="A7" t="s">
        <v>4</v>
      </c>
      <c r="B7" t="s">
        <v>5</v>
      </c>
      <c r="C7" s="2">
        <v>51</v>
      </c>
      <c r="D7" s="1" t="b">
        <v>1</v>
      </c>
      <c r="E7" t="str">
        <f>IF(Table1[[#This Row],[Status]],_xlfn.TEXTJOIN(".",,$B$2,C7),"")</f>
        <v>SA-2307.51</v>
      </c>
      <c r="F7" t="s">
        <v>15</v>
      </c>
      <c r="I7" t="s">
        <v>19</v>
      </c>
      <c r="J7" s="1" t="b">
        <v>1</v>
      </c>
    </row>
    <row r="8" spans="1:10">
      <c r="A8" t="s">
        <v>6</v>
      </c>
      <c r="B8" t="s">
        <v>7</v>
      </c>
      <c r="C8" s="2">
        <v>41</v>
      </c>
      <c r="D8" s="1" t="b">
        <v>1</v>
      </c>
      <c r="E8" t="str">
        <f>IF(Table1[[#This Row],[Status]],_xlfn.TEXTJOIN(".",,$B$2,C8),"")</f>
        <v>SA-2307.41</v>
      </c>
      <c r="F8" t="s">
        <v>16</v>
      </c>
      <c r="I8" t="s">
        <v>20</v>
      </c>
      <c r="J8" s="1" t="b">
        <v>1</v>
      </c>
    </row>
    <row r="9" spans="1:10">
      <c r="A9" t="s">
        <v>6</v>
      </c>
      <c r="B9" t="s">
        <v>8</v>
      </c>
      <c r="C9" s="2">
        <v>42</v>
      </c>
      <c r="D9" s="1" t="b">
        <v>1</v>
      </c>
      <c r="E9" t="str">
        <f>IF(Table1[[#This Row],[Status]],_xlfn.TEXTJOIN(".",,$B$2,C9),"")</f>
        <v>SA-2307.42</v>
      </c>
      <c r="F9" t="s">
        <v>16</v>
      </c>
      <c r="I9" t="s">
        <v>21</v>
      </c>
      <c r="J9" s="1" t="b">
        <v>1</v>
      </c>
    </row>
    <row r="10" spans="1:10">
      <c r="A10" t="s">
        <v>6</v>
      </c>
      <c r="B10" t="s">
        <v>9</v>
      </c>
      <c r="C10" s="2">
        <v>43</v>
      </c>
      <c r="D10" s="1" t="b">
        <v>1</v>
      </c>
      <c r="E10" t="str">
        <f>IF(Table1[[#This Row],[Status]],_xlfn.TEXTJOIN(".",,$B$2,C10),"")</f>
        <v>SA-2307.43</v>
      </c>
      <c r="F10" t="s">
        <v>16</v>
      </c>
      <c r="I10" t="s">
        <v>22</v>
      </c>
      <c r="J10" s="1" t="b">
        <v>1</v>
      </c>
    </row>
  </sheetData>
  <mergeCells count="2">
    <mergeCell ref="A5:F5"/>
    <mergeCell ref="I5:J5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7F07-CACF-4956-8D0E-3CB8AFE5D144}">
  <dimension ref="A1:F10"/>
  <sheetViews>
    <sheetView zoomScaleNormal="100" zoomScaleSheetLayoutView="100" workbookViewId="0">
      <selection activeCell="C8" sqref="C8"/>
    </sheetView>
  </sheetViews>
  <sheetFormatPr defaultColWidth="9.125" defaultRowHeight="14.25"/>
  <cols>
    <col min="1" max="1" width="15.125" style="13" bestFit="1" customWidth="1"/>
    <col min="2" max="2" width="36.875" style="13" bestFit="1" customWidth="1"/>
    <col min="3" max="6" width="32" style="13" customWidth="1"/>
    <col min="7" max="16384" width="9.125" style="13"/>
  </cols>
  <sheetData>
    <row r="1" spans="1:6" ht="15">
      <c r="A1" s="6" t="s">
        <v>12</v>
      </c>
      <c r="B1" s="12" t="s">
        <v>13</v>
      </c>
      <c r="D1" s="17"/>
      <c r="E1" s="13" t="s">
        <v>260</v>
      </c>
    </row>
    <row r="2" spans="1:6" ht="15">
      <c r="A2" s="6" t="s">
        <v>2</v>
      </c>
      <c r="B2" s="12" t="s">
        <v>26</v>
      </c>
      <c r="D2" s="18"/>
      <c r="E2" s="13" t="s">
        <v>259</v>
      </c>
    </row>
    <row r="3" spans="1:6">
      <c r="B3" s="14"/>
      <c r="D3" s="8"/>
      <c r="E3" s="13" t="s">
        <v>258</v>
      </c>
    </row>
    <row r="4" spans="1:6">
      <c r="B4" s="14"/>
    </row>
    <row r="5" spans="1:6" hidden="1">
      <c r="C5" s="13" t="str" cm="1">
        <f t="array" ref="C5:F5">+TRANSPOSE(Table1[Component Name])</f>
        <v>OS1 (Top)</v>
      </c>
      <c r="D5" s="13" t="str">
        <v>MS1 (Top)</v>
      </c>
      <c r="E5" s="13" t="str">
        <v>MS2 (Bottom)</v>
      </c>
      <c r="F5" s="13" t="str">
        <v>MS3 (Heel)</v>
      </c>
    </row>
    <row r="6" spans="1:6" hidden="1">
      <c r="C6" s="13" t="str" cm="1">
        <f t="array" ref="C6:F6">+TRANSPOSE(Table1[Key])</f>
        <v>SA-2307.51</v>
      </c>
      <c r="D6" s="13" t="str">
        <v>SA-2307.41</v>
      </c>
      <c r="E6" s="13" t="str">
        <v>SA-2307.42</v>
      </c>
      <c r="F6" s="13" t="str">
        <v>SA-2307.43</v>
      </c>
    </row>
    <row r="7" spans="1:6" ht="15">
      <c r="A7" s="3" t="s">
        <v>23</v>
      </c>
      <c r="B7" s="3" t="s">
        <v>24</v>
      </c>
      <c r="C7" s="19" t="s">
        <v>254</v>
      </c>
      <c r="D7" s="19" t="s">
        <v>255</v>
      </c>
      <c r="E7" s="19" t="s">
        <v>256</v>
      </c>
      <c r="F7" s="19" t="s">
        <v>257</v>
      </c>
    </row>
    <row r="8" spans="1:6">
      <c r="A8" s="15">
        <f>_xlfn.XLOOKUP(B8,_dimFactory[Factory Name],_dimFactory[Factory Number])</f>
        <v>62430</v>
      </c>
      <c r="B8" s="11" t="s">
        <v>233</v>
      </c>
      <c r="C8" s="15" t="s">
        <v>34</v>
      </c>
      <c r="D8" s="15" t="s">
        <v>34</v>
      </c>
      <c r="E8" s="15" t="s">
        <v>34</v>
      </c>
      <c r="F8" s="15" t="s">
        <v>34</v>
      </c>
    </row>
    <row r="9" spans="1:6">
      <c r="A9" s="15">
        <f>_xlfn.XLOOKUP(B9,_dimFactory[Factory Name],_dimFactory[Factory Number])</f>
        <v>62093</v>
      </c>
      <c r="B9" s="11" t="s">
        <v>31</v>
      </c>
      <c r="C9" s="15" t="s">
        <v>35</v>
      </c>
      <c r="D9" s="15" t="s">
        <v>35</v>
      </c>
      <c r="E9" s="15" t="s">
        <v>35</v>
      </c>
      <c r="F9" s="15" t="s">
        <v>35</v>
      </c>
    </row>
    <row r="10" spans="1:6">
      <c r="A10" s="15">
        <f>_xlfn.XLOOKUP(B10,_dimFactory[Factory Name],_dimFactory[Factory Number])</f>
        <v>61589</v>
      </c>
      <c r="B10" s="11" t="s">
        <v>30</v>
      </c>
      <c r="C10" s="15" t="s">
        <v>35</v>
      </c>
      <c r="D10" s="15" t="s">
        <v>35</v>
      </c>
      <c r="E10" s="15" t="s">
        <v>35</v>
      </c>
      <c r="F10" s="15" t="s">
        <v>35</v>
      </c>
    </row>
  </sheetData>
  <conditionalFormatting sqref="C6 C8:F10">
    <cfRule type="expression" dxfId="4" priority="1" stopIfTrue="1">
      <formula>OR(ISBLANK(C$6),C$6="")</formula>
    </cfRule>
  </conditionalFormatting>
  <conditionalFormatting sqref="C8:F10">
    <cfRule type="expression" dxfId="3" priority="5" stopIfTrue="1">
      <formula>AND(NOT(C6=""),COUNTIF(_VenShortName,C8)=1)</formula>
    </cfRule>
    <cfRule type="expression" dxfId="2" priority="7">
      <formula>NOT(AND(NOT(C6=""),COUNTIF(_VenShortName,C8)=1))</formula>
    </cfRule>
  </conditionalFormatting>
  <conditionalFormatting sqref="D6:F6">
    <cfRule type="expression" dxfId="1" priority="6">
      <formula>OR(ISBLANK(D$6),D$6="")</formula>
    </cfRule>
  </conditionalFormatting>
  <conditionalFormatting sqref="D8:F10">
    <cfRule type="expression" dxfId="0" priority="4">
      <formula>AND(NOT(D6=""),COUNTIF(_VenShortName,D8)=1)</formula>
    </cfRule>
  </conditionalFormatting>
  <dataValidations count="1">
    <dataValidation type="list" allowBlank="1" showInputMessage="1" showErrorMessage="1" sqref="B8:B10" xr:uid="{8A1F8E47-3DCA-45FF-A77B-E576D01A7DD2}">
      <formula1>_FactoryName</formula1>
    </dataValidation>
  </dataValidations>
  <pageMargins left="0.7" right="0.7" top="0.75" bottom="0.75" header="0.3" footer="0.3"/>
  <pageSetup scale="4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B48A-C72D-4D6D-9769-577D8F06CAE6}">
  <dimension ref="A1:I18"/>
  <sheetViews>
    <sheetView tabSelected="1" workbookViewId="0">
      <selection activeCell="C10" sqref="C9:C10"/>
    </sheetView>
  </sheetViews>
  <sheetFormatPr defaultRowHeight="14.25"/>
  <cols>
    <col min="1" max="1" width="14.875" bestFit="1" customWidth="1"/>
    <col min="2" max="2" width="15.5" customWidth="1"/>
    <col min="3" max="4" width="20" bestFit="1" customWidth="1"/>
    <col min="5" max="9" width="13.375" customWidth="1"/>
    <col min="10" max="10" width="21.375" customWidth="1"/>
    <col min="11" max="11" width="9" bestFit="1" customWidth="1"/>
  </cols>
  <sheetData>
    <row r="1" spans="1:9" ht="15">
      <c r="A1" s="5" t="s">
        <v>12</v>
      </c>
      <c r="B1" s="12" t="s">
        <v>13</v>
      </c>
    </row>
    <row r="2" spans="1:9" ht="15">
      <c r="A2" s="5" t="s">
        <v>2</v>
      </c>
      <c r="B2" s="12" t="s">
        <v>26</v>
      </c>
    </row>
    <row r="3" spans="1:9" ht="15">
      <c r="A3" s="7" t="s">
        <v>263</v>
      </c>
      <c r="B3" s="16" t="s">
        <v>264</v>
      </c>
    </row>
    <row r="5" spans="1:9" ht="15">
      <c r="C5" s="7" t="s">
        <v>25</v>
      </c>
      <c r="D5" s="7" t="str">
        <f>_xlfn.XLOOKUP($D$7,_dimVendor[Vendor Short Name],_dimVendor[Vendor ID])</f>
        <v>FTY000688</v>
      </c>
      <c r="E5" s="7" t="str">
        <f>_xlfn.XLOOKUP($D$7,_dimVendor[Vendor Short Name],_dimVendor[Vendor ID])</f>
        <v>FTY000688</v>
      </c>
    </row>
    <row r="6" spans="1:9" ht="15">
      <c r="C6" s="7" t="s">
        <v>33</v>
      </c>
      <c r="D6" s="7" t="str">
        <f>_xlfn.XLOOKUP($D$7,_dimVendor[Vendor Short Name],_dimVendor[Location])</f>
        <v>VN</v>
      </c>
      <c r="E6" s="7" t="str">
        <f>_xlfn.XLOOKUP($D$7,_dimVendor[Vendor Short Name],_dimVendor[Location])</f>
        <v>VN</v>
      </c>
      <c r="F6" s="10"/>
      <c r="G6" s="9"/>
      <c r="H6" s="9"/>
      <c r="I6" s="9"/>
    </row>
    <row r="7" spans="1:9" s="9" customFormat="1" ht="44.65" customHeight="1">
      <c r="A7" s="20" t="s">
        <v>32</v>
      </c>
      <c r="B7" s="20" t="s">
        <v>266</v>
      </c>
      <c r="C7" s="20" t="s">
        <v>253</v>
      </c>
      <c r="D7" s="27" t="s">
        <v>261</v>
      </c>
      <c r="E7" s="27" t="s">
        <v>34</v>
      </c>
      <c r="F7"/>
      <c r="G7"/>
      <c r="H7"/>
      <c r="I7"/>
    </row>
    <row r="8" spans="1:9">
      <c r="A8" s="29" t="s">
        <v>5</v>
      </c>
      <c r="B8" s="32">
        <v>3.5</v>
      </c>
      <c r="C8" s="26" t="s">
        <v>243</v>
      </c>
      <c r="D8" s="26">
        <v>1</v>
      </c>
      <c r="E8" s="26">
        <v>2</v>
      </c>
    </row>
    <row r="9" spans="1:9">
      <c r="A9" s="29" t="s">
        <v>5</v>
      </c>
      <c r="B9" s="32">
        <v>4.5</v>
      </c>
      <c r="C9" s="26" t="s">
        <v>244</v>
      </c>
      <c r="D9" s="26">
        <v>1</v>
      </c>
      <c r="E9" s="26">
        <v>2</v>
      </c>
    </row>
    <row r="10" spans="1:9">
      <c r="A10" s="29" t="s">
        <v>5</v>
      </c>
      <c r="B10" s="32">
        <v>5.5</v>
      </c>
      <c r="C10" s="26" t="s">
        <v>245</v>
      </c>
      <c r="D10" s="26">
        <v>2</v>
      </c>
      <c r="E10" s="26">
        <v>3</v>
      </c>
    </row>
    <row r="11" spans="1:9">
      <c r="A11" s="29" t="s">
        <v>5</v>
      </c>
      <c r="B11" s="32">
        <v>6.5</v>
      </c>
      <c r="C11" s="26" t="s">
        <v>246</v>
      </c>
      <c r="D11" s="26">
        <v>2</v>
      </c>
      <c r="E11" s="26">
        <v>3</v>
      </c>
    </row>
    <row r="12" spans="1:9">
      <c r="A12" s="29" t="s">
        <v>5</v>
      </c>
      <c r="B12" s="32">
        <v>7.5</v>
      </c>
      <c r="C12" s="26" t="s">
        <v>247</v>
      </c>
      <c r="D12" s="26">
        <v>2</v>
      </c>
      <c r="E12" s="26">
        <v>4</v>
      </c>
    </row>
    <row r="13" spans="1:9">
      <c r="A13" s="29" t="s">
        <v>5</v>
      </c>
      <c r="B13" s="32">
        <v>8.5</v>
      </c>
      <c r="C13" s="26" t="s">
        <v>248</v>
      </c>
      <c r="D13" s="26">
        <v>3</v>
      </c>
      <c r="E13" s="26">
        <v>7</v>
      </c>
    </row>
    <row r="14" spans="1:9">
      <c r="A14" s="29" t="s">
        <v>5</v>
      </c>
      <c r="B14" s="32">
        <v>9.5</v>
      </c>
      <c r="C14" s="26" t="s">
        <v>249</v>
      </c>
      <c r="D14" s="26">
        <v>3</v>
      </c>
      <c r="E14" s="26">
        <v>7</v>
      </c>
    </row>
    <row r="15" spans="1:9">
      <c r="A15" s="29" t="s">
        <v>5</v>
      </c>
      <c r="B15" s="32">
        <v>10.5</v>
      </c>
      <c r="C15" s="26" t="s">
        <v>250</v>
      </c>
      <c r="D15" s="26">
        <v>2</v>
      </c>
      <c r="E15" s="26">
        <v>5</v>
      </c>
    </row>
    <row r="16" spans="1:9">
      <c r="A16" s="29" t="s">
        <v>5</v>
      </c>
      <c r="B16" s="32">
        <v>11.5</v>
      </c>
      <c r="C16" s="26" t="s">
        <v>251</v>
      </c>
      <c r="D16" s="26">
        <v>2</v>
      </c>
      <c r="E16" s="26">
        <v>3</v>
      </c>
    </row>
    <row r="17" spans="1:5">
      <c r="A17" s="29" t="s">
        <v>5</v>
      </c>
      <c r="B17" s="32">
        <v>12.5</v>
      </c>
      <c r="C17" s="26" t="s">
        <v>252</v>
      </c>
      <c r="D17" s="26">
        <v>1</v>
      </c>
      <c r="E17" s="26">
        <v>2</v>
      </c>
    </row>
    <row r="18" spans="1:5" ht="14.25" customHeight="1">
      <c r="A18" s="29" t="s">
        <v>5</v>
      </c>
      <c r="B18" s="32">
        <v>13.5</v>
      </c>
      <c r="C18" s="26">
        <v>14</v>
      </c>
      <c r="D18" s="26">
        <v>1</v>
      </c>
      <c r="E18" s="26">
        <v>2</v>
      </c>
    </row>
  </sheetData>
  <phoneticPr fontId="1" type="noConversion"/>
  <dataValidations count="1">
    <dataValidation type="list" allowBlank="1" showInputMessage="1" showErrorMessage="1" sqref="D7:E7" xr:uid="{B804BDBE-91DA-487E-BC8E-53EE1281D000}">
      <formula1>_VenShortName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B6A3-A34A-4CE9-8F0F-F7C24BB4A108}">
  <dimension ref="A1:I18"/>
  <sheetViews>
    <sheetView workbookViewId="0">
      <selection activeCell="B8" sqref="B8:B18"/>
    </sheetView>
  </sheetViews>
  <sheetFormatPr defaultRowHeight="14.25"/>
  <cols>
    <col min="1" max="1" width="14.875" bestFit="1" customWidth="1"/>
    <col min="2" max="2" width="29.875" bestFit="1" customWidth="1"/>
    <col min="3" max="4" width="20" bestFit="1" customWidth="1"/>
    <col min="5" max="9" width="13.375" customWidth="1"/>
    <col min="10" max="10" width="21.375" customWidth="1"/>
    <col min="11" max="11" width="9" bestFit="1" customWidth="1"/>
  </cols>
  <sheetData>
    <row r="1" spans="1:9" ht="15">
      <c r="A1" s="5" t="s">
        <v>12</v>
      </c>
      <c r="B1" s="12" t="s">
        <v>13</v>
      </c>
    </row>
    <row r="2" spans="1:9" ht="15">
      <c r="A2" s="5" t="s">
        <v>2</v>
      </c>
      <c r="B2" s="12" t="s">
        <v>26</v>
      </c>
    </row>
    <row r="3" spans="1:9" ht="15">
      <c r="A3" s="7" t="s">
        <v>263</v>
      </c>
      <c r="B3" s="16" t="s">
        <v>262</v>
      </c>
    </row>
    <row r="5" spans="1:9" ht="15">
      <c r="B5" s="7" t="s">
        <v>25</v>
      </c>
      <c r="C5" s="7" t="str">
        <f>_xlfn.XLOOKUP($C$7,_dimVendor[Vendor Short Name],_dimVendor[Vendor ID])</f>
        <v>FTY000688</v>
      </c>
      <c r="D5" s="7" t="str">
        <f>_xlfn.XLOOKUP($D$7,_dimVendor[Vendor Short Name],_dimVendor[Vendor ID])</f>
        <v>FTY000720</v>
      </c>
    </row>
    <row r="6" spans="1:9" ht="15">
      <c r="B6" s="7" t="s">
        <v>33</v>
      </c>
      <c r="C6" s="7" t="str">
        <f>_xlfn.XLOOKUP($C$7,_dimVendor[Vendor Short Name],_dimVendor[Location])</f>
        <v>VN</v>
      </c>
      <c r="D6" s="7" t="str">
        <f>_xlfn.XLOOKUP($D$7,_dimVendor[Vendor Short Name],_dimVendor[Location])</f>
        <v>ID</v>
      </c>
      <c r="E6" s="10"/>
      <c r="F6" s="10"/>
      <c r="G6" s="9"/>
      <c r="H6" s="9"/>
      <c r="I6" s="9"/>
    </row>
    <row r="7" spans="1:9" s="9" customFormat="1" ht="44.65" customHeight="1">
      <c r="A7" s="7" t="s">
        <v>32</v>
      </c>
      <c r="B7" s="7" t="s">
        <v>253</v>
      </c>
      <c r="C7" s="28" t="s">
        <v>261</v>
      </c>
      <c r="D7" s="28" t="s">
        <v>34</v>
      </c>
      <c r="E7"/>
      <c r="F7"/>
      <c r="G7"/>
      <c r="H7"/>
      <c r="I7"/>
    </row>
    <row r="8" spans="1:9">
      <c r="A8" s="29" t="s">
        <v>7</v>
      </c>
      <c r="B8" s="26" t="s">
        <v>243</v>
      </c>
      <c r="C8" s="26">
        <v>1</v>
      </c>
      <c r="D8" s="26">
        <v>2</v>
      </c>
    </row>
    <row r="9" spans="1:9">
      <c r="A9" s="29" t="s">
        <v>7</v>
      </c>
      <c r="B9" s="26" t="s">
        <v>244</v>
      </c>
      <c r="C9" s="26">
        <v>2</v>
      </c>
      <c r="D9" s="26">
        <v>2</v>
      </c>
    </row>
    <row r="10" spans="1:9">
      <c r="A10" s="29" t="s">
        <v>7</v>
      </c>
      <c r="B10" s="26" t="s">
        <v>245</v>
      </c>
      <c r="C10" s="26">
        <v>2</v>
      </c>
      <c r="D10" s="26">
        <v>3</v>
      </c>
    </row>
    <row r="11" spans="1:9">
      <c r="A11" s="29" t="s">
        <v>7</v>
      </c>
      <c r="B11" s="26" t="s">
        <v>246</v>
      </c>
      <c r="C11" s="26">
        <v>3</v>
      </c>
      <c r="D11" s="26">
        <v>4</v>
      </c>
    </row>
    <row r="12" spans="1:9">
      <c r="A12" s="29" t="s">
        <v>7</v>
      </c>
      <c r="B12" s="26" t="s">
        <v>247</v>
      </c>
      <c r="C12" s="26">
        <v>4</v>
      </c>
      <c r="D12" s="26">
        <v>7</v>
      </c>
    </row>
    <row r="13" spans="1:9">
      <c r="A13" s="29" t="s">
        <v>7</v>
      </c>
      <c r="B13" s="26" t="s">
        <v>248</v>
      </c>
      <c r="C13" s="26">
        <v>4</v>
      </c>
      <c r="D13" s="26">
        <v>7</v>
      </c>
    </row>
    <row r="14" spans="1:9">
      <c r="A14" s="29" t="s">
        <v>7</v>
      </c>
      <c r="B14" s="26" t="s">
        <v>249</v>
      </c>
      <c r="C14" s="26">
        <v>6</v>
      </c>
      <c r="D14" s="26">
        <v>9</v>
      </c>
    </row>
    <row r="15" spans="1:9">
      <c r="A15" s="29" t="s">
        <v>7</v>
      </c>
      <c r="B15" s="26" t="s">
        <v>250</v>
      </c>
      <c r="C15" s="26">
        <v>4</v>
      </c>
      <c r="D15" s="26">
        <v>8</v>
      </c>
    </row>
    <row r="16" spans="1:9">
      <c r="A16" s="29" t="s">
        <v>7</v>
      </c>
      <c r="B16" s="26" t="s">
        <v>251</v>
      </c>
      <c r="C16" s="26">
        <v>3</v>
      </c>
      <c r="D16" s="26">
        <v>5</v>
      </c>
    </row>
    <row r="17" spans="1:4">
      <c r="A17" s="29" t="s">
        <v>7</v>
      </c>
      <c r="B17" s="26" t="s">
        <v>252</v>
      </c>
      <c r="C17" s="26">
        <v>1</v>
      </c>
      <c r="D17" s="26">
        <v>2</v>
      </c>
    </row>
    <row r="18" spans="1:4">
      <c r="A18" s="29" t="s">
        <v>7</v>
      </c>
      <c r="B18" s="26">
        <v>14</v>
      </c>
      <c r="C18" s="26">
        <v>1</v>
      </c>
      <c r="D18" s="26">
        <v>2</v>
      </c>
    </row>
  </sheetData>
  <dataValidations count="1">
    <dataValidation type="list" allowBlank="1" showInputMessage="1" showErrorMessage="1" sqref="C7:D7" xr:uid="{114142E9-523C-4181-B99B-AB89D02DEDC6}">
      <formula1>_VenShortName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5928-3C93-440D-AE70-069FA3E86705}">
  <dimension ref="A1:I18"/>
  <sheetViews>
    <sheetView workbookViewId="0">
      <selection activeCell="B8" sqref="B8:B18"/>
    </sheetView>
  </sheetViews>
  <sheetFormatPr defaultRowHeight="14.25"/>
  <cols>
    <col min="1" max="1" width="14.875" bestFit="1" customWidth="1"/>
    <col min="2" max="2" width="29.875" bestFit="1" customWidth="1"/>
    <col min="3" max="4" width="20" bestFit="1" customWidth="1"/>
    <col min="5" max="9" width="13.375" customWidth="1"/>
    <col min="10" max="10" width="21.375" customWidth="1"/>
    <col min="11" max="11" width="9" bestFit="1" customWidth="1"/>
  </cols>
  <sheetData>
    <row r="1" spans="1:9" ht="15">
      <c r="A1" s="5" t="s">
        <v>12</v>
      </c>
      <c r="B1" s="12" t="s">
        <v>13</v>
      </c>
    </row>
    <row r="2" spans="1:9" ht="15">
      <c r="A2" s="5" t="s">
        <v>2</v>
      </c>
      <c r="B2" s="12" t="s">
        <v>26</v>
      </c>
    </row>
    <row r="3" spans="1:9" ht="15">
      <c r="A3" s="7" t="s">
        <v>263</v>
      </c>
      <c r="B3" s="16" t="s">
        <v>265</v>
      </c>
    </row>
    <row r="5" spans="1:9" ht="15">
      <c r="B5" s="7" t="s">
        <v>25</v>
      </c>
      <c r="C5" s="7" t="str">
        <f>_xlfn.XLOOKUP($C$7,_dimVendor[Vendor Short Name],_dimVendor[Vendor ID])</f>
        <v>FTY000688</v>
      </c>
      <c r="D5" s="7" t="str">
        <f>_xlfn.XLOOKUP($C$7,_dimVendor[Vendor Short Name],_dimVendor[Vendor ID])</f>
        <v>FTY000688</v>
      </c>
    </row>
    <row r="6" spans="1:9" ht="15">
      <c r="B6" s="7" t="s">
        <v>33</v>
      </c>
      <c r="C6" s="7" t="str">
        <f>_xlfn.XLOOKUP($C$7,_dimVendor[Vendor Short Name],_dimVendor[Location])</f>
        <v>VN</v>
      </c>
      <c r="D6" s="7" t="str">
        <f>_xlfn.XLOOKUP($C$7,_dimVendor[Vendor Short Name],_dimVendor[Location])</f>
        <v>VN</v>
      </c>
      <c r="E6" s="10"/>
      <c r="F6" s="10"/>
      <c r="G6" s="9"/>
      <c r="H6" s="9"/>
      <c r="I6" s="9"/>
    </row>
    <row r="7" spans="1:9" s="9" customFormat="1" ht="44.65" customHeight="1">
      <c r="A7" s="7" t="s">
        <v>32</v>
      </c>
      <c r="B7" s="7" t="s">
        <v>253</v>
      </c>
      <c r="C7" s="28" t="s">
        <v>261</v>
      </c>
      <c r="D7" s="28" t="s">
        <v>34</v>
      </c>
      <c r="E7"/>
      <c r="F7"/>
      <c r="G7"/>
      <c r="H7"/>
      <c r="I7"/>
    </row>
    <row r="8" spans="1:9">
      <c r="A8" s="29" t="s">
        <v>8</v>
      </c>
      <c r="B8" s="26" t="s">
        <v>243</v>
      </c>
      <c r="C8" s="26">
        <v>1</v>
      </c>
      <c r="D8" s="16">
        <v>2</v>
      </c>
    </row>
    <row r="9" spans="1:9">
      <c r="A9" s="29" t="s">
        <v>8</v>
      </c>
      <c r="B9" s="26" t="s">
        <v>244</v>
      </c>
      <c r="C9" s="26">
        <v>2</v>
      </c>
      <c r="D9" s="16">
        <v>2</v>
      </c>
    </row>
    <row r="10" spans="1:9">
      <c r="A10" s="29" t="s">
        <v>8</v>
      </c>
      <c r="B10" s="26" t="s">
        <v>245</v>
      </c>
      <c r="C10" s="26">
        <v>3</v>
      </c>
      <c r="D10" s="16">
        <v>4</v>
      </c>
    </row>
    <row r="11" spans="1:9">
      <c r="A11" s="29" t="s">
        <v>8</v>
      </c>
      <c r="B11" s="26" t="s">
        <v>246</v>
      </c>
      <c r="C11" s="26">
        <v>4</v>
      </c>
      <c r="D11" s="16">
        <v>8</v>
      </c>
    </row>
    <row r="12" spans="1:9">
      <c r="A12" s="29" t="s">
        <v>8</v>
      </c>
      <c r="B12" s="26" t="s">
        <v>247</v>
      </c>
      <c r="C12" s="26">
        <v>4</v>
      </c>
      <c r="D12" s="16">
        <v>6</v>
      </c>
    </row>
    <row r="13" spans="1:9">
      <c r="A13" s="29" t="s">
        <v>8</v>
      </c>
      <c r="B13" s="26" t="s">
        <v>248</v>
      </c>
      <c r="C13" s="26">
        <v>6</v>
      </c>
      <c r="D13" s="16">
        <v>10</v>
      </c>
    </row>
    <row r="14" spans="1:9">
      <c r="A14" s="29" t="s">
        <v>8</v>
      </c>
      <c r="B14" s="26" t="s">
        <v>249</v>
      </c>
      <c r="C14" s="26">
        <v>7</v>
      </c>
      <c r="D14" s="16">
        <v>10</v>
      </c>
    </row>
    <row r="15" spans="1:9">
      <c r="A15" s="29" t="s">
        <v>8</v>
      </c>
      <c r="B15" s="26" t="s">
        <v>250</v>
      </c>
      <c r="C15" s="26">
        <v>4</v>
      </c>
      <c r="D15" s="16">
        <v>9</v>
      </c>
    </row>
    <row r="16" spans="1:9">
      <c r="A16" s="29" t="s">
        <v>8</v>
      </c>
      <c r="B16" s="26" t="s">
        <v>251</v>
      </c>
      <c r="C16" s="26">
        <v>3</v>
      </c>
      <c r="D16" s="16">
        <v>6</v>
      </c>
    </row>
    <row r="17" spans="1:4">
      <c r="A17" s="29" t="s">
        <v>8</v>
      </c>
      <c r="B17" s="26" t="s">
        <v>252</v>
      </c>
      <c r="C17" s="26">
        <v>1</v>
      </c>
      <c r="D17" s="16">
        <v>3</v>
      </c>
    </row>
    <row r="18" spans="1:4">
      <c r="A18" s="29" t="s">
        <v>8</v>
      </c>
      <c r="B18" s="26">
        <v>14</v>
      </c>
      <c r="C18" s="26">
        <v>1</v>
      </c>
      <c r="D18" s="16">
        <v>2</v>
      </c>
    </row>
  </sheetData>
  <dataValidations count="1">
    <dataValidation type="list" allowBlank="1" showInputMessage="1" showErrorMessage="1" sqref="C7:D7" xr:uid="{8481E424-9500-4766-8B79-AF4F87366FA7}">
      <formula1>_VenShortName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589A-6028-4E70-A169-AAE6B2FC0C96}">
  <dimension ref="A1:I18"/>
  <sheetViews>
    <sheetView workbookViewId="0">
      <selection activeCell="B34" sqref="B34"/>
    </sheetView>
  </sheetViews>
  <sheetFormatPr defaultRowHeight="14.25"/>
  <cols>
    <col min="1" max="1" width="14.875" bestFit="1" customWidth="1"/>
    <col min="2" max="2" width="29.875" bestFit="1" customWidth="1"/>
    <col min="3" max="4" width="20" bestFit="1" customWidth="1"/>
    <col min="5" max="9" width="13.375" customWidth="1"/>
    <col min="10" max="10" width="21.375" customWidth="1"/>
    <col min="11" max="11" width="9" bestFit="1" customWidth="1"/>
  </cols>
  <sheetData>
    <row r="1" spans="1:9" ht="15">
      <c r="A1" s="5" t="s">
        <v>12</v>
      </c>
      <c r="B1" s="12" t="s">
        <v>13</v>
      </c>
    </row>
    <row r="2" spans="1:9" ht="15">
      <c r="A2" s="5" t="s">
        <v>2</v>
      </c>
      <c r="B2" s="12" t="s">
        <v>26</v>
      </c>
    </row>
    <row r="3" spans="1:9" ht="15">
      <c r="A3" s="7" t="s">
        <v>263</v>
      </c>
      <c r="B3" s="16" t="s">
        <v>264</v>
      </c>
    </row>
    <row r="5" spans="1:9" ht="15">
      <c r="B5" s="7" t="s">
        <v>25</v>
      </c>
      <c r="C5" s="7" t="str">
        <f>_xlfn.XLOOKUP($C$7,_dimVendor[Vendor Short Name],_dimVendor[Vendor ID])</f>
        <v>FTY000688</v>
      </c>
      <c r="D5" s="7" t="str">
        <f>_xlfn.XLOOKUP($C$7,_dimVendor[Vendor Short Name],_dimVendor[Vendor ID])</f>
        <v>FTY000688</v>
      </c>
    </row>
    <row r="6" spans="1:9" ht="15">
      <c r="B6" s="7" t="s">
        <v>33</v>
      </c>
      <c r="C6" s="7" t="str">
        <f>_xlfn.XLOOKUP($C$7,_dimVendor[Vendor Short Name],_dimVendor[Location])</f>
        <v>VN</v>
      </c>
      <c r="D6" s="7" t="str">
        <f>_xlfn.XLOOKUP($C$7,_dimVendor[Vendor Short Name],_dimVendor[Location])</f>
        <v>VN</v>
      </c>
      <c r="E6" s="10"/>
      <c r="F6" s="10"/>
      <c r="G6" s="9"/>
      <c r="H6" s="9"/>
      <c r="I6" s="9"/>
    </row>
    <row r="7" spans="1:9" s="9" customFormat="1" ht="44.65" customHeight="1">
      <c r="A7" s="20" t="s">
        <v>32</v>
      </c>
      <c r="B7" s="20" t="s">
        <v>253</v>
      </c>
      <c r="C7" s="27" t="s">
        <v>261</v>
      </c>
      <c r="D7" s="27" t="s">
        <v>34</v>
      </c>
      <c r="E7"/>
      <c r="F7"/>
      <c r="G7"/>
      <c r="H7"/>
      <c r="I7"/>
    </row>
    <row r="8" spans="1:9">
      <c r="A8" s="21" t="s">
        <v>9</v>
      </c>
      <c r="B8" s="22" t="s">
        <v>243</v>
      </c>
      <c r="C8" s="23">
        <v>1</v>
      </c>
      <c r="D8" s="26">
        <v>2</v>
      </c>
    </row>
    <row r="9" spans="1:9">
      <c r="A9" s="21" t="s">
        <v>9</v>
      </c>
      <c r="B9" s="22" t="s">
        <v>244</v>
      </c>
      <c r="C9" s="23">
        <v>2</v>
      </c>
      <c r="D9" s="26">
        <v>2</v>
      </c>
    </row>
    <row r="10" spans="1:9">
      <c r="A10" s="21" t="s">
        <v>9</v>
      </c>
      <c r="B10" s="22" t="s">
        <v>245</v>
      </c>
      <c r="C10" s="23">
        <v>2</v>
      </c>
      <c r="D10" s="26">
        <v>3</v>
      </c>
    </row>
    <row r="11" spans="1:9">
      <c r="A11" s="21" t="s">
        <v>9</v>
      </c>
      <c r="B11" s="22" t="s">
        <v>246</v>
      </c>
      <c r="C11" s="23">
        <v>4</v>
      </c>
      <c r="D11" s="26">
        <v>4</v>
      </c>
    </row>
    <row r="12" spans="1:9">
      <c r="A12" s="21" t="s">
        <v>9</v>
      </c>
      <c r="B12" s="22" t="s">
        <v>247</v>
      </c>
      <c r="C12" s="23">
        <v>4</v>
      </c>
      <c r="D12" s="26">
        <v>7</v>
      </c>
    </row>
    <row r="13" spans="1:9">
      <c r="A13" s="21" t="s">
        <v>9</v>
      </c>
      <c r="B13" s="22" t="s">
        <v>248</v>
      </c>
      <c r="C13" s="23">
        <v>4</v>
      </c>
      <c r="D13" s="26">
        <v>7</v>
      </c>
    </row>
    <row r="14" spans="1:9">
      <c r="A14" s="21" t="s">
        <v>9</v>
      </c>
      <c r="B14" s="22" t="s">
        <v>249</v>
      </c>
      <c r="C14" s="23">
        <v>6</v>
      </c>
      <c r="D14" s="26">
        <v>9</v>
      </c>
    </row>
    <row r="15" spans="1:9">
      <c r="A15" s="21" t="s">
        <v>9</v>
      </c>
      <c r="B15" s="22" t="s">
        <v>250</v>
      </c>
      <c r="C15" s="23">
        <v>4</v>
      </c>
      <c r="D15" s="26">
        <v>8</v>
      </c>
    </row>
    <row r="16" spans="1:9">
      <c r="A16" s="21" t="s">
        <v>9</v>
      </c>
      <c r="B16" s="22" t="s">
        <v>251</v>
      </c>
      <c r="C16" s="23">
        <v>3</v>
      </c>
      <c r="D16" s="26">
        <v>6</v>
      </c>
    </row>
    <row r="17" spans="1:4">
      <c r="A17" s="21" t="s">
        <v>9</v>
      </c>
      <c r="B17" s="22" t="s">
        <v>252</v>
      </c>
      <c r="C17" s="23">
        <v>1</v>
      </c>
      <c r="D17" s="26">
        <v>2</v>
      </c>
    </row>
    <row r="18" spans="1:4">
      <c r="A18" s="24" t="s">
        <v>9</v>
      </c>
      <c r="B18" s="25">
        <v>14</v>
      </c>
      <c r="C18" s="26">
        <v>1</v>
      </c>
      <c r="D18" s="26">
        <v>2</v>
      </c>
    </row>
  </sheetData>
  <dataValidations count="1">
    <dataValidation type="list" allowBlank="1" showInputMessage="1" showErrorMessage="1" sqref="C7:D7" xr:uid="{1BF63284-82EE-4F47-AFFD-147BB28CCB97}">
      <formula1>_VenShortName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AFE9-B80C-436B-A752-EE120F0915E2}">
  <dimension ref="A1:O55"/>
  <sheetViews>
    <sheetView workbookViewId="0">
      <selection activeCell="F43" sqref="F43"/>
    </sheetView>
  </sheetViews>
  <sheetFormatPr defaultRowHeight="14.25"/>
  <cols>
    <col min="1" max="1" width="12.125" style="9" bestFit="1" customWidth="1"/>
    <col min="2" max="2" width="29" style="9" bestFit="1" customWidth="1"/>
    <col min="3" max="3" width="45" style="9" bestFit="1" customWidth="1"/>
    <col min="4" max="4" width="11" style="9" bestFit="1" customWidth="1"/>
    <col min="5" max="5" width="18.25" style="9" bestFit="1" customWidth="1"/>
    <col min="6" max="6" width="15.875" style="9" bestFit="1" customWidth="1"/>
    <col min="7" max="7" width="15.625" style="9" bestFit="1" customWidth="1"/>
    <col min="8" max="8" width="12.625" style="9" bestFit="1" customWidth="1"/>
    <col min="9" max="9" width="17.25" style="9" bestFit="1" customWidth="1"/>
    <col min="10" max="10" width="9.125" customWidth="1"/>
    <col min="11" max="11" width="17.75" bestFit="1" customWidth="1"/>
    <col min="12" max="12" width="36.875" bestFit="1" customWidth="1"/>
    <col min="13" max="13" width="17.75" bestFit="1" customWidth="1"/>
    <col min="14" max="14" width="19.875" bestFit="1" customWidth="1"/>
    <col min="15" max="15" width="21.875" bestFit="1" customWidth="1"/>
  </cols>
  <sheetData>
    <row r="1" spans="1:15">
      <c r="A1" s="9" t="s">
        <v>25</v>
      </c>
      <c r="B1" s="9" t="s">
        <v>220</v>
      </c>
      <c r="C1" s="9" t="s">
        <v>221</v>
      </c>
      <c r="D1" s="9" t="s">
        <v>33</v>
      </c>
      <c r="E1" s="9" t="s">
        <v>222</v>
      </c>
      <c r="F1" s="9" t="s">
        <v>223</v>
      </c>
      <c r="G1" s="9" t="s">
        <v>224</v>
      </c>
      <c r="H1" s="9" t="s">
        <v>225</v>
      </c>
      <c r="I1" s="9" t="s">
        <v>226</v>
      </c>
      <c r="K1" t="s">
        <v>23</v>
      </c>
      <c r="L1" t="s">
        <v>24</v>
      </c>
      <c r="M1" t="s">
        <v>227</v>
      </c>
      <c r="N1" t="s">
        <v>228</v>
      </c>
      <c r="O1" t="s">
        <v>229</v>
      </c>
    </row>
    <row r="2" spans="1:15">
      <c r="A2" s="9" t="s">
        <v>36</v>
      </c>
      <c r="B2" s="9" t="str">
        <f>_dimVendor[[#This Row],[Vendor Group]]&amp; " - "&amp;_dimVendor[[#This Row],[Location]]&amp;IF(NOT(ISBLANK(_dimVendor[[#This Row],[Special Name]]))," ("&amp;_dimVendor[[#This Row],[Special Name]]&amp;")",)</f>
        <v>FineChemical - CN</v>
      </c>
      <c r="C2" s="9" t="s">
        <v>37</v>
      </c>
      <c r="D2" s="9" t="s">
        <v>38</v>
      </c>
      <c r="E2" s="9" t="s">
        <v>39</v>
      </c>
      <c r="F2" s="9" t="s">
        <v>40</v>
      </c>
      <c r="G2" s="9">
        <v>26</v>
      </c>
      <c r="H2" s="9">
        <v>50563</v>
      </c>
      <c r="K2">
        <v>62364</v>
      </c>
      <c r="L2" t="s">
        <v>230</v>
      </c>
      <c r="M2" t="s">
        <v>53</v>
      </c>
      <c r="N2" t="s">
        <v>231</v>
      </c>
      <c r="O2" t="s">
        <v>232</v>
      </c>
    </row>
    <row r="3" spans="1:15">
      <c r="A3" s="30" t="s">
        <v>41</v>
      </c>
      <c r="B3" s="9" t="str">
        <f>_dimVendor[[#This Row],[Vendor Group]]&amp; " - "&amp;_dimVendor[[#This Row],[Location]]&amp;IF(NOT(ISBLANK(_dimVendor[[#This Row],[Special Name]]))," ("&amp;_dimVendor[[#This Row],[Special Name]]&amp;")",)</f>
        <v>Fulgent Sun - ID</v>
      </c>
      <c r="C3" s="9" t="s">
        <v>42</v>
      </c>
      <c r="D3" s="9" t="s">
        <v>43</v>
      </c>
      <c r="E3" s="9" t="s">
        <v>44</v>
      </c>
      <c r="F3" s="9" t="s">
        <v>45</v>
      </c>
      <c r="G3" s="9">
        <v>26</v>
      </c>
      <c r="K3">
        <v>62430</v>
      </c>
      <c r="L3" t="s">
        <v>233</v>
      </c>
      <c r="M3" t="s">
        <v>43</v>
      </c>
      <c r="N3" t="s">
        <v>234</v>
      </c>
      <c r="O3" t="s">
        <v>235</v>
      </c>
    </row>
    <row r="4" spans="1:15">
      <c r="A4" s="9" t="s">
        <v>46</v>
      </c>
      <c r="B4" s="9" t="str">
        <f>_dimVendor[[#This Row],[Vendor Group]]&amp; " - "&amp;_dimVendor[[#This Row],[Location]]&amp;IF(NOT(ISBLANK(_dimVendor[[#This Row],[Special Name]]))," ("&amp;_dimVendor[[#This Row],[Special Name]]&amp;")",)</f>
        <v>Galli - VN</v>
      </c>
      <c r="C4" s="9" t="s">
        <v>47</v>
      </c>
      <c r="D4" s="9" t="s">
        <v>48</v>
      </c>
      <c r="E4" s="9" t="s">
        <v>49</v>
      </c>
      <c r="F4" s="9" t="s">
        <v>50</v>
      </c>
      <c r="G4" s="9">
        <v>26</v>
      </c>
      <c r="H4" s="9">
        <v>50565</v>
      </c>
      <c r="K4">
        <v>62093</v>
      </c>
      <c r="L4" t="s">
        <v>31</v>
      </c>
      <c r="M4" t="s">
        <v>48</v>
      </c>
      <c r="N4" t="s">
        <v>161</v>
      </c>
      <c r="O4" t="s">
        <v>161</v>
      </c>
    </row>
    <row r="5" spans="1:15">
      <c r="A5" s="9" t="s">
        <v>51</v>
      </c>
      <c r="B5" s="9" t="str">
        <f>_dimVendor[[#This Row],[Vendor Group]]&amp; " - "&amp;_dimVendor[[#This Row],[Location]]&amp;IF(NOT(ISBLANK(_dimVendor[[#This Row],[Special Name]]))," ("&amp;_dimVendor[[#This Row],[Special Name]]&amp;")",)</f>
        <v>GiaJiu - BD (TryOn)</v>
      </c>
      <c r="C5" s="9" t="s">
        <v>52</v>
      </c>
      <c r="D5" s="9" t="s">
        <v>53</v>
      </c>
      <c r="E5" s="9" t="s">
        <v>54</v>
      </c>
      <c r="F5" s="9" t="s">
        <v>55</v>
      </c>
      <c r="G5" s="9">
        <v>26</v>
      </c>
      <c r="H5" s="9">
        <v>50569</v>
      </c>
      <c r="I5" s="9" t="s">
        <v>56</v>
      </c>
      <c r="K5">
        <v>61427</v>
      </c>
      <c r="L5" t="s">
        <v>236</v>
      </c>
      <c r="M5" t="s">
        <v>38</v>
      </c>
      <c r="N5" t="s">
        <v>237</v>
      </c>
      <c r="O5" t="s">
        <v>238</v>
      </c>
    </row>
    <row r="6" spans="1:15">
      <c r="A6" s="9" t="s">
        <v>57</v>
      </c>
      <c r="B6" s="9" t="str">
        <f>_dimVendor[[#This Row],[Vendor Group]]&amp; " - "&amp;_dimVendor[[#This Row],[Location]]&amp;IF(NOT(ISBLANK(_dimVendor[[#This Row],[Special Name]]))," ("&amp;_dimVendor[[#This Row],[Special Name]]&amp;")",)</f>
        <v>GiaJiu - VN (FortuneArt/Joyful)</v>
      </c>
      <c r="C6" s="9" t="s">
        <v>58</v>
      </c>
      <c r="D6" s="9" t="s">
        <v>48</v>
      </c>
      <c r="E6" s="9" t="s">
        <v>54</v>
      </c>
      <c r="F6" s="9" t="s">
        <v>55</v>
      </c>
      <c r="G6" s="9">
        <v>26</v>
      </c>
      <c r="H6" s="9">
        <v>50567</v>
      </c>
      <c r="I6" s="9" t="s">
        <v>59</v>
      </c>
      <c r="K6">
        <v>62506</v>
      </c>
      <c r="L6" t="s">
        <v>239</v>
      </c>
      <c r="M6" t="s">
        <v>48</v>
      </c>
      <c r="N6" t="s">
        <v>237</v>
      </c>
      <c r="O6" t="s">
        <v>238</v>
      </c>
    </row>
    <row r="7" spans="1:15">
      <c r="A7" s="9" t="s">
        <v>60</v>
      </c>
      <c r="B7" s="9" t="str">
        <f>_dimVendor[[#This Row],[Vendor Group]]&amp; " - "&amp;_dimVendor[[#This Row],[Location]]&amp;IF(NOT(ISBLANK(_dimVendor[[#This Row],[Special Name]]))," ("&amp;_dimVendor[[#This Row],[Special Name]]&amp;")",)</f>
        <v>GiaJiu - VN (GiaChiu)</v>
      </c>
      <c r="C7" s="9" t="s">
        <v>61</v>
      </c>
      <c r="D7" s="9" t="s">
        <v>48</v>
      </c>
      <c r="E7" s="9" t="s">
        <v>54</v>
      </c>
      <c r="F7" s="9" t="s">
        <v>55</v>
      </c>
      <c r="G7" s="9">
        <v>26</v>
      </c>
      <c r="H7" s="9">
        <v>50571</v>
      </c>
      <c r="I7" s="9" t="s">
        <v>62</v>
      </c>
      <c r="K7">
        <v>61589</v>
      </c>
      <c r="L7" t="s">
        <v>30</v>
      </c>
      <c r="M7" t="s">
        <v>48</v>
      </c>
      <c r="N7" t="s">
        <v>240</v>
      </c>
      <c r="O7" t="s">
        <v>241</v>
      </c>
    </row>
    <row r="8" spans="1:15">
      <c r="A8" s="9" t="s">
        <v>63</v>
      </c>
      <c r="B8" s="9" t="str">
        <f>_dimVendor[[#This Row],[Vendor Group]]&amp; " - "&amp;_dimVendor[[#This Row],[Location]]&amp;IF(NOT(ISBLANK(_dimVendor[[#This Row],[Special Name]]))," ("&amp;_dimVendor[[#This Row],[Special Name]]&amp;")",)</f>
        <v>GiaJiu - VN (SuccessProsperity)</v>
      </c>
      <c r="C8" s="9" t="s">
        <v>64</v>
      </c>
      <c r="D8" s="9" t="s">
        <v>48</v>
      </c>
      <c r="E8" s="9" t="s">
        <v>54</v>
      </c>
      <c r="F8" s="9" t="s">
        <v>55</v>
      </c>
      <c r="G8" s="9">
        <v>26</v>
      </c>
      <c r="H8" s="9">
        <v>50566</v>
      </c>
      <c r="I8" s="9" t="s">
        <v>65</v>
      </c>
      <c r="K8">
        <v>62557</v>
      </c>
      <c r="L8" t="s">
        <v>242</v>
      </c>
      <c r="M8" t="s">
        <v>43</v>
      </c>
      <c r="N8" t="s">
        <v>234</v>
      </c>
      <c r="O8" t="s">
        <v>235</v>
      </c>
    </row>
    <row r="9" spans="1:15">
      <c r="A9" s="9" t="s">
        <v>66</v>
      </c>
      <c r="B9" s="9" t="str">
        <f>_dimVendor[[#This Row],[Vendor Group]]&amp; " - "&amp;_dimVendor[[#This Row],[Location]]&amp;IF(NOT(ISBLANK(_dimVendor[[#This Row],[Special Name]]))," ("&amp;_dimVendor[[#This Row],[Special Name]]&amp;")",)</f>
        <v>GiaJiu - VN (TryOn)</v>
      </c>
      <c r="C9" s="9" t="s">
        <v>67</v>
      </c>
      <c r="D9" s="9" t="s">
        <v>48</v>
      </c>
      <c r="E9" s="9" t="s">
        <v>54</v>
      </c>
      <c r="F9" s="9" t="s">
        <v>55</v>
      </c>
      <c r="G9" s="9">
        <v>26</v>
      </c>
      <c r="H9" s="9">
        <v>50568</v>
      </c>
      <c r="I9" s="9" t="s">
        <v>56</v>
      </c>
      <c r="K9">
        <v>61510</v>
      </c>
      <c r="L9" t="s">
        <v>28</v>
      </c>
      <c r="M9" t="s">
        <v>43</v>
      </c>
      <c r="N9" t="s">
        <v>234</v>
      </c>
      <c r="O9" t="s">
        <v>235</v>
      </c>
    </row>
    <row r="10" spans="1:15">
      <c r="A10" s="9" t="s">
        <v>68</v>
      </c>
      <c r="B10" s="9" t="str">
        <f>_dimVendor[[#This Row],[Vendor Group]]&amp; " - "&amp;_dimVendor[[#This Row],[Location]]&amp;IF(NOT(ISBLANK(_dimVendor[[#This Row],[Special Name]]))," ("&amp;_dimVendor[[#This Row],[Special Name]]&amp;")",)</f>
        <v>GoldenSky - BD</v>
      </c>
      <c r="C10" s="9" t="s">
        <v>69</v>
      </c>
      <c r="D10" s="9" t="s">
        <v>53</v>
      </c>
      <c r="E10" s="9" t="s">
        <v>70</v>
      </c>
      <c r="F10" s="9" t="s">
        <v>71</v>
      </c>
      <c r="G10" s="9">
        <v>26</v>
      </c>
      <c r="H10" s="9">
        <v>50572</v>
      </c>
    </row>
    <row r="11" spans="1:15">
      <c r="A11" s="9" t="s">
        <v>72</v>
      </c>
      <c r="B11" s="9" t="str">
        <f>_dimVendor[[#This Row],[Vendor Group]]&amp; " - "&amp;_dimVendor[[#This Row],[Location]]&amp;IF(NOT(ISBLANK(_dimVendor[[#This Row],[Special Name]]))," ("&amp;_dimVendor[[#This Row],[Special Name]]&amp;")",)</f>
        <v>GoldenSky - CN</v>
      </c>
      <c r="C11" s="9" t="s">
        <v>73</v>
      </c>
      <c r="D11" s="9" t="s">
        <v>38</v>
      </c>
      <c r="E11" s="9" t="s">
        <v>70</v>
      </c>
      <c r="F11" s="9" t="s">
        <v>71</v>
      </c>
      <c r="G11" s="9">
        <v>26</v>
      </c>
      <c r="H11" s="9">
        <v>50573</v>
      </c>
    </row>
    <row r="12" spans="1:15">
      <c r="A12" s="9" t="s">
        <v>74</v>
      </c>
      <c r="B12" s="9" t="str">
        <f>_dimVendor[[#This Row],[Vendor Group]]&amp; " - "&amp;_dimVendor[[#This Row],[Location]]&amp;IF(NOT(ISBLANK(_dimVendor[[#This Row],[Special Name]]))," ("&amp;_dimVendor[[#This Row],[Special Name]]&amp;")",)</f>
        <v>GuoSheng - CN</v>
      </c>
      <c r="C12" s="9" t="s">
        <v>75</v>
      </c>
      <c r="D12" s="9" t="s">
        <v>38</v>
      </c>
      <c r="E12" s="9" t="s">
        <v>76</v>
      </c>
      <c r="F12" s="9" t="s">
        <v>77</v>
      </c>
      <c r="G12" s="9">
        <v>26</v>
      </c>
    </row>
    <row r="13" spans="1:15">
      <c r="A13" s="9" t="s">
        <v>78</v>
      </c>
      <c r="B13" s="9" t="str">
        <f>_dimVendor[[#This Row],[Vendor Group]]&amp; " - "&amp;_dimVendor[[#This Row],[Location]]&amp;IF(NOT(ISBLANK(_dimVendor[[#This Row],[Special Name]]))," ("&amp;_dimVendor[[#This Row],[Special Name]]&amp;")",)</f>
        <v>GuoSheng - VN</v>
      </c>
      <c r="C13" s="9" t="s">
        <v>79</v>
      </c>
      <c r="D13" s="9" t="s">
        <v>48</v>
      </c>
      <c r="E13" s="9" t="s">
        <v>76</v>
      </c>
      <c r="F13" s="9" t="s">
        <v>77</v>
      </c>
      <c r="G13" s="9">
        <v>26</v>
      </c>
      <c r="H13" s="9">
        <v>50575</v>
      </c>
    </row>
    <row r="14" spans="1:15">
      <c r="A14" s="9" t="s">
        <v>80</v>
      </c>
      <c r="B14" s="9" t="str">
        <f>_dimVendor[[#This Row],[Vendor Group]]&amp; " - "&amp;_dimVendor[[#This Row],[Location]]&amp;IF(NOT(ISBLANK(_dimVendor[[#This Row],[Special Name]]))," ("&amp;_dimVendor[[#This Row],[Special Name]]&amp;")",)</f>
        <v>JiaTai - CN (HengMao)</v>
      </c>
      <c r="C14" s="9" t="s">
        <v>81</v>
      </c>
      <c r="D14" s="9" t="s">
        <v>38</v>
      </c>
      <c r="E14" s="9" t="s">
        <v>82</v>
      </c>
      <c r="F14" s="9" t="s">
        <v>83</v>
      </c>
      <c r="G14" s="9">
        <v>26</v>
      </c>
      <c r="H14" s="9">
        <v>50578</v>
      </c>
      <c r="I14" s="9" t="s">
        <v>84</v>
      </c>
    </row>
    <row r="15" spans="1:15">
      <c r="A15" s="9" t="s">
        <v>85</v>
      </c>
      <c r="B15" s="9" t="str">
        <f>_dimVendor[[#This Row],[Vendor Group]]&amp; " - "&amp;_dimVendor[[#This Row],[Location]]&amp;IF(NOT(ISBLANK(_dimVendor[[#This Row],[Special Name]]))," ("&amp;_dimVendor[[#This Row],[Special Name]]&amp;")",)</f>
        <v>JiaYu - CN</v>
      </c>
      <c r="C15" s="9" t="s">
        <v>86</v>
      </c>
      <c r="D15" s="9" t="s">
        <v>38</v>
      </c>
      <c r="E15" s="9" t="s">
        <v>87</v>
      </c>
      <c r="F15" s="9" t="s">
        <v>88</v>
      </c>
      <c r="G15" s="9">
        <v>26</v>
      </c>
      <c r="H15" s="9">
        <v>50519</v>
      </c>
    </row>
    <row r="16" spans="1:15">
      <c r="A16" s="9" t="s">
        <v>89</v>
      </c>
      <c r="B16" s="9" t="str">
        <f>_dimVendor[[#This Row],[Vendor Group]]&amp; " - "&amp;_dimVendor[[#This Row],[Location]]&amp;IF(NOT(ISBLANK(_dimVendor[[#This Row],[Special Name]]))," ("&amp;_dimVendor[[#This Row],[Special Name]]&amp;")",)</f>
        <v>JiaYu - VN</v>
      </c>
      <c r="C16" s="9" t="s">
        <v>90</v>
      </c>
      <c r="D16" s="9" t="s">
        <v>48</v>
      </c>
      <c r="E16" s="9" t="s">
        <v>87</v>
      </c>
      <c r="F16" s="9" t="s">
        <v>88</v>
      </c>
      <c r="G16" s="9">
        <v>26</v>
      </c>
      <c r="H16" s="9">
        <v>50518</v>
      </c>
    </row>
    <row r="17" spans="1:9">
      <c r="A17" s="9" t="s">
        <v>91</v>
      </c>
      <c r="B17" s="9" t="str">
        <f>_dimVendor[[#This Row],[Vendor Group]]&amp; " - "&amp;_dimVendor[[#This Row],[Location]]&amp;IF(NOT(ISBLANK(_dimVendor[[#This Row],[Special Name]]))," ("&amp;_dimVendor[[#This Row],[Special Name]]&amp;")",)</f>
        <v>JoinWin - CN</v>
      </c>
      <c r="C17" s="9" t="s">
        <v>92</v>
      </c>
      <c r="D17" s="9" t="s">
        <v>38</v>
      </c>
      <c r="E17" s="9" t="s">
        <v>93</v>
      </c>
      <c r="F17" s="9" t="s">
        <v>94</v>
      </c>
      <c r="G17" s="9">
        <v>26</v>
      </c>
      <c r="H17" s="9">
        <v>50521</v>
      </c>
    </row>
    <row r="18" spans="1:9">
      <c r="A18" s="9" t="s">
        <v>95</v>
      </c>
      <c r="B18" s="9" t="str">
        <f>_dimVendor[[#This Row],[Vendor Group]]&amp; " - "&amp;_dimVendor[[#This Row],[Location]]&amp;IF(NOT(ISBLANK(_dimVendor[[#This Row],[Special Name]]))," ("&amp;_dimVendor[[#This Row],[Special Name]]&amp;")",)</f>
        <v>JoinWin - VN</v>
      </c>
      <c r="C18" s="9" t="s">
        <v>96</v>
      </c>
      <c r="D18" s="9" t="s">
        <v>48</v>
      </c>
      <c r="E18" s="9" t="s">
        <v>93</v>
      </c>
      <c r="F18" s="9" t="s">
        <v>94</v>
      </c>
      <c r="G18" s="9">
        <v>26</v>
      </c>
      <c r="H18" s="9">
        <v>50520</v>
      </c>
    </row>
    <row r="19" spans="1:9">
      <c r="A19" s="9" t="s">
        <v>97</v>
      </c>
      <c r="B19" s="9" t="str">
        <f>_dimVendor[[#This Row],[Vendor Group]]&amp; " - "&amp;_dimVendor[[#This Row],[Location]]&amp;IF(NOT(ISBLANK(_dimVendor[[#This Row],[Special Name]]))," ("&amp;_dimVendor[[#This Row],[Special Name]]&amp;")",)</f>
        <v>JunYi - CN</v>
      </c>
      <c r="C19" s="9" t="s">
        <v>98</v>
      </c>
      <c r="D19" s="9" t="s">
        <v>38</v>
      </c>
      <c r="E19" s="9" t="s">
        <v>99</v>
      </c>
      <c r="F19" s="9" t="s">
        <v>100</v>
      </c>
      <c r="G19" s="9">
        <v>26</v>
      </c>
      <c r="H19" s="9">
        <v>50584</v>
      </c>
    </row>
    <row r="20" spans="1:9">
      <c r="A20" s="9" t="s">
        <v>101</v>
      </c>
      <c r="B20" s="9" t="str">
        <f>_dimVendor[[#This Row],[Vendor Group]]&amp; " - "&amp;_dimVendor[[#This Row],[Location]]&amp;IF(NOT(ISBLANK(_dimVendor[[#This Row],[Special Name]]))," ("&amp;_dimVendor[[#This Row],[Special Name]]&amp;")",)</f>
        <v>JunYi - VN</v>
      </c>
      <c r="C20" s="9" t="s">
        <v>102</v>
      </c>
      <c r="D20" s="9" t="s">
        <v>48</v>
      </c>
      <c r="E20" s="9" t="s">
        <v>99</v>
      </c>
      <c r="F20" s="9" t="s">
        <v>100</v>
      </c>
      <c r="G20" s="9">
        <v>26</v>
      </c>
    </row>
    <row r="21" spans="1:9">
      <c r="A21" s="9" t="s">
        <v>103</v>
      </c>
      <c r="B21" s="9" t="str">
        <f>_dimVendor[[#This Row],[Vendor Group]]&amp; " - "&amp;_dimVendor[[#This Row],[Location]]&amp;IF(NOT(ISBLANK(_dimVendor[[#This Row],[Special Name]]))," ("&amp;_dimVendor[[#This Row],[Special Name]]&amp;")",)</f>
        <v>LongSheng - CN</v>
      </c>
      <c r="C21" s="9" t="s">
        <v>104</v>
      </c>
      <c r="D21" s="9" t="s">
        <v>38</v>
      </c>
      <c r="E21" s="9" t="s">
        <v>105</v>
      </c>
      <c r="F21" s="9" t="s">
        <v>106</v>
      </c>
      <c r="G21" s="9">
        <v>26</v>
      </c>
      <c r="H21" s="9">
        <v>50588</v>
      </c>
    </row>
    <row r="22" spans="1:9">
      <c r="A22" s="9" t="s">
        <v>107</v>
      </c>
      <c r="B22" s="9" t="str">
        <f>_dimVendor[[#This Row],[Vendor Group]]&amp; " - "&amp;_dimVendor[[#This Row],[Location]]&amp;IF(NOT(ISBLANK(_dimVendor[[#This Row],[Special Name]]))," ("&amp;_dimVendor[[#This Row],[Special Name]]&amp;")",)</f>
        <v>MayorBean - KH</v>
      </c>
      <c r="C22" s="9" t="s">
        <v>108</v>
      </c>
      <c r="D22" s="9" t="s">
        <v>109</v>
      </c>
      <c r="E22" s="9" t="s">
        <v>110</v>
      </c>
      <c r="F22" s="9" t="s">
        <v>111</v>
      </c>
      <c r="G22" s="9">
        <v>26</v>
      </c>
      <c r="H22" s="9">
        <v>50589</v>
      </c>
    </row>
    <row r="23" spans="1:9">
      <c r="A23" s="9" t="s">
        <v>112</v>
      </c>
      <c r="B23" s="9" t="str">
        <f>_dimVendor[[#This Row],[Vendor Group]]&amp; " - "&amp;_dimVendor[[#This Row],[Location]]&amp;IF(NOT(ISBLANK(_dimVendor[[#This Row],[Special Name]]))," ("&amp;_dimVendor[[#This Row],[Special Name]]&amp;")",)</f>
        <v>MayorBean - VN (HanThai)</v>
      </c>
      <c r="C23" s="9" t="s">
        <v>113</v>
      </c>
      <c r="D23" s="9" t="s">
        <v>48</v>
      </c>
      <c r="E23" s="9" t="s">
        <v>110</v>
      </c>
      <c r="F23" s="9" t="s">
        <v>111</v>
      </c>
      <c r="G23" s="9">
        <v>26</v>
      </c>
      <c r="H23" s="9">
        <v>50633</v>
      </c>
      <c r="I23" s="9" t="s">
        <v>114</v>
      </c>
    </row>
    <row r="24" spans="1:9">
      <c r="A24" s="9" t="s">
        <v>115</v>
      </c>
      <c r="B24" s="9" t="str">
        <f>_dimVendor[[#This Row],[Vendor Group]]&amp; " - "&amp;_dimVendor[[#This Row],[Location]]&amp;IF(NOT(ISBLANK(_dimVendor[[#This Row],[Special Name]]))," ("&amp;_dimVendor[[#This Row],[Special Name]]&amp;")",)</f>
        <v>MayorBean - VN (QuangThai)</v>
      </c>
      <c r="C24" s="9" t="s">
        <v>116</v>
      </c>
      <c r="D24" s="9" t="s">
        <v>48</v>
      </c>
      <c r="E24" s="9" t="s">
        <v>110</v>
      </c>
      <c r="F24" s="9" t="s">
        <v>111</v>
      </c>
      <c r="G24" s="9">
        <v>26</v>
      </c>
      <c r="H24" s="9">
        <v>50634</v>
      </c>
      <c r="I24" s="9" t="s">
        <v>117</v>
      </c>
    </row>
    <row r="25" spans="1:9">
      <c r="A25" s="9" t="s">
        <v>118</v>
      </c>
      <c r="B25" s="9" t="str">
        <f>_dimVendor[[#This Row],[Vendor Group]]&amp; " - "&amp;_dimVendor[[#This Row],[Location]]&amp;IF(NOT(ISBLANK(_dimVendor[[#This Row],[Special Name]]))," ("&amp;_dimVendor[[#This Row],[Special Name]]&amp;")",)</f>
        <v>Meramec - CN</v>
      </c>
      <c r="C25" s="9" t="s">
        <v>119</v>
      </c>
      <c r="D25" s="9" t="s">
        <v>38</v>
      </c>
      <c r="E25" s="9" t="s">
        <v>120</v>
      </c>
      <c r="F25" s="9" t="s">
        <v>121</v>
      </c>
      <c r="G25" s="9">
        <v>26</v>
      </c>
      <c r="H25" s="9">
        <v>50590</v>
      </c>
    </row>
    <row r="26" spans="1:9">
      <c r="A26" s="9" t="s">
        <v>122</v>
      </c>
      <c r="B26" s="9" t="str">
        <f>_dimVendor[[#This Row],[Vendor Group]]&amp; " - "&amp;_dimVendor[[#This Row],[Location]]&amp;IF(NOT(ISBLANK(_dimVendor[[#This Row],[Special Name]]))," ("&amp;_dimVendor[[#This Row],[Special Name]]&amp;")",)</f>
        <v>PengHui - CN</v>
      </c>
      <c r="C26" s="9" t="s">
        <v>123</v>
      </c>
      <c r="D26" s="9" t="s">
        <v>38</v>
      </c>
      <c r="E26" s="9" t="s">
        <v>124</v>
      </c>
      <c r="F26" s="9" t="s">
        <v>125</v>
      </c>
      <c r="G26" s="9">
        <v>26</v>
      </c>
      <c r="H26" s="9">
        <v>50526</v>
      </c>
    </row>
    <row r="27" spans="1:9">
      <c r="A27" s="9" t="s">
        <v>126</v>
      </c>
      <c r="B27" s="9" t="str">
        <f>_dimVendor[[#This Row],[Vendor Group]]&amp; " - "&amp;_dimVendor[[#This Row],[Location]]&amp;IF(NOT(ISBLANK(_dimVendor[[#This Row],[Special Name]]))," ("&amp;_dimVendor[[#This Row],[Special Name]]&amp;")",)</f>
        <v>PengHui - VN</v>
      </c>
      <c r="C27" s="9" t="s">
        <v>127</v>
      </c>
      <c r="D27" s="9" t="s">
        <v>48</v>
      </c>
      <c r="E27" s="9" t="s">
        <v>124</v>
      </c>
      <c r="F27" s="9" t="s">
        <v>125</v>
      </c>
      <c r="G27" s="9">
        <v>26</v>
      </c>
      <c r="H27" s="9">
        <v>50527</v>
      </c>
    </row>
    <row r="28" spans="1:9">
      <c r="A28" s="9" t="s">
        <v>128</v>
      </c>
      <c r="B28" s="9" t="str">
        <f>_dimVendor[[#This Row],[Vendor Group]]&amp; " - "&amp;_dimVendor[[#This Row],[Location]]&amp;IF(NOT(ISBLANK(_dimVendor[[#This Row],[Special Name]]))," ("&amp;_dimVendor[[#This Row],[Special Name]]&amp;")",)</f>
        <v>PinXiang - CN</v>
      </c>
      <c r="C28" s="9" t="s">
        <v>129</v>
      </c>
      <c r="D28" s="9" t="s">
        <v>38</v>
      </c>
      <c r="E28" s="9" t="s">
        <v>130</v>
      </c>
      <c r="F28" s="9" t="s">
        <v>131</v>
      </c>
      <c r="G28" s="9">
        <v>26</v>
      </c>
      <c r="H28" s="9">
        <v>50592</v>
      </c>
    </row>
    <row r="29" spans="1:9">
      <c r="A29" s="9" t="s">
        <v>132</v>
      </c>
      <c r="B29" s="9" t="str">
        <f>_dimVendor[[#This Row],[Vendor Group]]&amp; " - "&amp;_dimVendor[[#This Row],[Location]]&amp;IF(NOT(ISBLANK(_dimVendor[[#This Row],[Special Name]]))," ("&amp;_dimVendor[[#This Row],[Special Name]]&amp;")",)</f>
        <v>PinXiang - VN</v>
      </c>
      <c r="C29" s="9" t="s">
        <v>133</v>
      </c>
      <c r="D29" s="9" t="s">
        <v>48</v>
      </c>
      <c r="E29" s="9" t="s">
        <v>130</v>
      </c>
      <c r="F29" s="9" t="s">
        <v>131</v>
      </c>
      <c r="G29" s="9">
        <v>26</v>
      </c>
      <c r="H29" s="9">
        <v>50591</v>
      </c>
    </row>
    <row r="30" spans="1:9">
      <c r="A30" s="9" t="s">
        <v>134</v>
      </c>
      <c r="B30" s="9" t="str">
        <f>_dimVendor[[#This Row],[Vendor Group]]&amp; " - "&amp;_dimVendor[[#This Row],[Location]]&amp;IF(NOT(ISBLANK(_dimVendor[[#This Row],[Special Name]]))," ("&amp;_dimVendor[[#This Row],[Special Name]]&amp;")",)</f>
        <v>PouYuen - VN</v>
      </c>
      <c r="C30" s="9" t="s">
        <v>135</v>
      </c>
      <c r="D30" s="9" t="s">
        <v>48</v>
      </c>
      <c r="E30" s="9" t="s">
        <v>136</v>
      </c>
      <c r="F30" s="9" t="s">
        <v>137</v>
      </c>
      <c r="G30" s="9">
        <v>26</v>
      </c>
      <c r="H30" s="9">
        <v>50593</v>
      </c>
    </row>
    <row r="31" spans="1:9">
      <c r="A31" s="9" t="s">
        <v>138</v>
      </c>
      <c r="B31" s="9" t="str">
        <f>_dimVendor[[#This Row],[Vendor Group]]&amp; " - "&amp;_dimVendor[[#This Row],[Location]]&amp;IF(NOT(ISBLANK(_dimVendor[[#This Row],[Special Name]]))," ("&amp;_dimVendor[[#This Row],[Special Name]]&amp;")",)</f>
        <v>RongDa - BD</v>
      </c>
      <c r="C31" s="9" t="s">
        <v>139</v>
      </c>
      <c r="D31" s="9" t="s">
        <v>53</v>
      </c>
      <c r="E31" s="9" t="s">
        <v>140</v>
      </c>
      <c r="F31" s="9" t="s">
        <v>141</v>
      </c>
      <c r="G31" s="9">
        <v>26</v>
      </c>
      <c r="H31" s="9">
        <v>50528</v>
      </c>
    </row>
    <row r="32" spans="1:9">
      <c r="A32" s="9" t="s">
        <v>142</v>
      </c>
      <c r="B32" s="9" t="str">
        <f>_dimVendor[[#This Row],[Vendor Group]]&amp; " - "&amp;_dimVendor[[#This Row],[Location]]&amp;IF(NOT(ISBLANK(_dimVendor[[#This Row],[Special Name]]))," ("&amp;_dimVendor[[#This Row],[Special Name]]&amp;")",)</f>
        <v>RongDa - CN</v>
      </c>
      <c r="C32" s="9" t="s">
        <v>143</v>
      </c>
      <c r="D32" s="9" t="s">
        <v>38</v>
      </c>
      <c r="E32" s="9" t="s">
        <v>140</v>
      </c>
      <c r="F32" s="9" t="s">
        <v>141</v>
      </c>
      <c r="G32" s="9">
        <v>26</v>
      </c>
      <c r="H32" s="9">
        <v>50529</v>
      </c>
    </row>
    <row r="33" spans="1:9">
      <c r="A33" s="9" t="s">
        <v>144</v>
      </c>
      <c r="B33" s="9" t="str">
        <f>_dimVendor[[#This Row],[Vendor Group]]&amp; " - "&amp;_dimVendor[[#This Row],[Location]]&amp;IF(NOT(ISBLANK(_dimVendor[[#This Row],[Special Name]]))," ("&amp;_dimVendor[[#This Row],[Special Name]]&amp;")",)</f>
        <v>ShengNuo - ID</v>
      </c>
      <c r="C33" s="9" t="s">
        <v>145</v>
      </c>
      <c r="D33" s="9" t="s">
        <v>43</v>
      </c>
      <c r="E33" s="9" t="s">
        <v>146</v>
      </c>
      <c r="F33" s="9" t="s">
        <v>147</v>
      </c>
      <c r="G33" s="9">
        <v>26</v>
      </c>
    </row>
    <row r="34" spans="1:9">
      <c r="A34" s="9" t="s">
        <v>148</v>
      </c>
      <c r="B34" s="9" t="str">
        <f>_dimVendor[[#This Row],[Vendor Group]]&amp; " - "&amp;_dimVendor[[#This Row],[Location]]&amp;IF(NOT(ISBLANK(_dimVendor[[#This Row],[Special Name]]))," ("&amp;_dimVendor[[#This Row],[Special Name]]&amp;")",)</f>
        <v>Stella - ID (Sabina)</v>
      </c>
      <c r="C34" s="9" t="s">
        <v>149</v>
      </c>
      <c r="D34" s="9" t="s">
        <v>43</v>
      </c>
      <c r="E34" s="9" t="s">
        <v>150</v>
      </c>
      <c r="F34" s="9" t="s">
        <v>151</v>
      </c>
      <c r="G34" s="9">
        <v>26</v>
      </c>
      <c r="I34" s="9" t="s">
        <v>29</v>
      </c>
    </row>
    <row r="35" spans="1:9">
      <c r="A35" s="9" t="s">
        <v>152</v>
      </c>
      <c r="B35" s="9" t="str">
        <f>_dimVendor[[#This Row],[Vendor Group]]&amp; " - "&amp;_dimVendor[[#This Row],[Location]]&amp;IF(NOT(ISBLANK(_dimVendor[[#This Row],[Special Name]]))," ("&amp;_dimVendor[[#This Row],[Special Name]]&amp;")",)</f>
        <v>SungShin - ID</v>
      </c>
      <c r="C35" s="9" t="s">
        <v>153</v>
      </c>
      <c r="D35" s="9" t="s">
        <v>43</v>
      </c>
      <c r="E35" s="9" t="s">
        <v>154</v>
      </c>
      <c r="F35" s="9" t="s">
        <v>155</v>
      </c>
      <c r="G35" s="9">
        <v>26</v>
      </c>
    </row>
    <row r="36" spans="1:9">
      <c r="A36" s="9" t="s">
        <v>156</v>
      </c>
      <c r="B36" s="9" t="str">
        <f>_dimVendor[[#This Row],[Vendor Group]]&amp; " - "&amp;_dimVendor[[#This Row],[Location]]&amp;IF(NOT(ISBLANK(_dimVendor[[#This Row],[Special Name]]))," ("&amp;_dimVendor[[#This Row],[Special Name]]&amp;")",)</f>
        <v>SungShin - VN</v>
      </c>
      <c r="C36" s="9" t="s">
        <v>157</v>
      </c>
      <c r="D36" s="9" t="s">
        <v>48</v>
      </c>
      <c r="E36" s="9" t="s">
        <v>154</v>
      </c>
      <c r="F36" s="9" t="s">
        <v>155</v>
      </c>
      <c r="G36" s="9">
        <v>26</v>
      </c>
    </row>
    <row r="37" spans="1:9">
      <c r="A37" s="9" t="s">
        <v>158</v>
      </c>
      <c r="B37" s="9" t="str">
        <f>_dimVendor[[#This Row],[Vendor Group]]&amp; " - "&amp;_dimVendor[[#This Row],[Location]]&amp;IF(NOT(ISBLANK(_dimVendor[[#This Row],[Special Name]]))," ("&amp;_dimVendor[[#This Row],[Special Name]]&amp;")",)</f>
        <v>TBS - VN</v>
      </c>
      <c r="C37" s="9" t="s">
        <v>159</v>
      </c>
      <c r="D37" s="9" t="s">
        <v>48</v>
      </c>
      <c r="E37" s="9" t="s">
        <v>160</v>
      </c>
      <c r="F37" s="9" t="s">
        <v>161</v>
      </c>
      <c r="G37" s="9">
        <v>26</v>
      </c>
      <c r="H37" s="9">
        <v>50533</v>
      </c>
    </row>
    <row r="38" spans="1:9">
      <c r="A38" s="9" t="s">
        <v>162</v>
      </c>
      <c r="B38" s="9" t="str">
        <f>_dimVendor[[#This Row],[Vendor Group]]&amp; " - "&amp;_dimVendor[[#This Row],[Location]]&amp;IF(NOT(ISBLANK(_dimVendor[[#This Row],[Special Name]]))," ("&amp;_dimVendor[[#This Row],[Special Name]]&amp;")",)</f>
        <v>Vibram - CN</v>
      </c>
      <c r="C38" s="9" t="s">
        <v>163</v>
      </c>
      <c r="D38" s="9" t="s">
        <v>38</v>
      </c>
      <c r="E38" s="9" t="s">
        <v>164</v>
      </c>
      <c r="F38" s="9" t="s">
        <v>165</v>
      </c>
      <c r="G38" s="9">
        <v>26</v>
      </c>
    </row>
    <row r="39" spans="1:9">
      <c r="A39" s="9" t="s">
        <v>166</v>
      </c>
      <c r="B39" s="9" t="str">
        <f>_dimVendor[[#This Row],[Vendor Group]]&amp; " - "&amp;_dimVendor[[#This Row],[Location]]&amp;IF(NOT(ISBLANK(_dimVendor[[#This Row],[Special Name]]))," ("&amp;_dimVendor[[#This Row],[Special Name]]&amp;")",)</f>
        <v>Vibram - VN</v>
      </c>
      <c r="C39" s="9" t="s">
        <v>167</v>
      </c>
      <c r="D39" s="9" t="s">
        <v>48</v>
      </c>
      <c r="E39" s="9" t="s">
        <v>164</v>
      </c>
      <c r="F39" s="9" t="s">
        <v>165</v>
      </c>
      <c r="G39" s="9">
        <v>26</v>
      </c>
    </row>
    <row r="40" spans="1:9">
      <c r="A40" s="9" t="s">
        <v>168</v>
      </c>
      <c r="B40" s="9" t="str">
        <f>_dimVendor[[#This Row],[Vendor Group]]&amp; " - "&amp;_dimVendor[[#This Row],[Location]]&amp;IF(NOT(ISBLANK(_dimVendor[[#This Row],[Special Name]]))," ("&amp;_dimVendor[[#This Row],[Special Name]]&amp;")",)</f>
        <v>WanFu - VN</v>
      </c>
      <c r="C40" s="9" t="s">
        <v>169</v>
      </c>
      <c r="D40" s="9" t="s">
        <v>48</v>
      </c>
      <c r="E40" s="9" t="s">
        <v>170</v>
      </c>
      <c r="F40" s="9" t="s">
        <v>171</v>
      </c>
      <c r="G40" s="9">
        <v>26</v>
      </c>
      <c r="H40" s="9">
        <v>50614</v>
      </c>
    </row>
    <row r="41" spans="1:9">
      <c r="A41" s="9" t="s">
        <v>172</v>
      </c>
      <c r="B41" s="9" t="str">
        <f>_dimVendor[[#This Row],[Vendor Group]]&amp; " - "&amp;_dimVendor[[#This Row],[Location]]&amp;IF(NOT(ISBLANK(_dimVendor[[#This Row],[Special Name]]))," ("&amp;_dimVendor[[#This Row],[Special Name]]&amp;")",)</f>
        <v>XingTaiLai - CN</v>
      </c>
      <c r="C41" s="9" t="s">
        <v>173</v>
      </c>
      <c r="D41" s="9" t="s">
        <v>38</v>
      </c>
      <c r="E41" s="9" t="s">
        <v>174</v>
      </c>
      <c r="F41" s="9" t="s">
        <v>175</v>
      </c>
      <c r="G41" s="9">
        <v>26</v>
      </c>
      <c r="H41" s="9">
        <v>50616</v>
      </c>
    </row>
    <row r="42" spans="1:9">
      <c r="A42" s="9" t="s">
        <v>176</v>
      </c>
      <c r="B42" s="9" t="str">
        <f>_dimVendor[[#This Row],[Vendor Group]]&amp; " - "&amp;_dimVendor[[#This Row],[Location]]&amp;IF(NOT(ISBLANK(_dimVendor[[#This Row],[Special Name]]))," ("&amp;_dimVendor[[#This Row],[Special Name]]&amp;")",)</f>
        <v>XingTaiLai - VN</v>
      </c>
      <c r="C42" s="9" t="s">
        <v>177</v>
      </c>
      <c r="D42" s="9" t="s">
        <v>48</v>
      </c>
      <c r="E42" s="9" t="s">
        <v>174</v>
      </c>
      <c r="F42" s="9" t="s">
        <v>175</v>
      </c>
      <c r="G42" s="9">
        <v>26</v>
      </c>
      <c r="H42" s="9">
        <v>50617</v>
      </c>
    </row>
    <row r="43" spans="1:9">
      <c r="A43" s="9" t="s">
        <v>178</v>
      </c>
      <c r="B43" s="9" t="str">
        <f>_dimVendor[[#This Row],[Vendor Group]]&amp; " - "&amp;_dimVendor[[#This Row],[Location]]&amp;IF(NOT(ISBLANK(_dimVendor[[#This Row],[Special Name]]))," ("&amp;_dimVendor[[#This Row],[Special Name]]&amp;")",)</f>
        <v>YeiJer - BD</v>
      </c>
      <c r="C43" s="9" t="s">
        <v>179</v>
      </c>
      <c r="D43" s="9" t="s">
        <v>53</v>
      </c>
      <c r="E43" s="9" t="s">
        <v>180</v>
      </c>
      <c r="F43" s="9" t="s">
        <v>181</v>
      </c>
      <c r="G43" s="9">
        <v>26</v>
      </c>
    </row>
    <row r="44" spans="1:9">
      <c r="A44" s="9" t="s">
        <v>182</v>
      </c>
      <c r="B44" s="9" t="str">
        <f>_dimVendor[[#This Row],[Vendor Group]]&amp; " - "&amp;_dimVendor[[#This Row],[Location]]&amp;IF(NOT(ISBLANK(_dimVendor[[#This Row],[Special Name]]))," ("&amp;_dimVendor[[#This Row],[Special Name]]&amp;")",)</f>
        <v>YeiJer - CN</v>
      </c>
      <c r="C44" s="9" t="s">
        <v>183</v>
      </c>
      <c r="D44" s="9" t="s">
        <v>38</v>
      </c>
      <c r="E44" s="9" t="s">
        <v>180</v>
      </c>
      <c r="F44" s="9" t="s">
        <v>181</v>
      </c>
      <c r="G44" s="9">
        <v>26</v>
      </c>
      <c r="H44" s="9">
        <v>50620</v>
      </c>
    </row>
    <row r="45" spans="1:9">
      <c r="A45" s="9" t="s">
        <v>184</v>
      </c>
      <c r="B45" s="9" t="str">
        <f>_dimVendor[[#This Row],[Vendor Group]]&amp; " - "&amp;_dimVendor[[#This Row],[Location]]&amp;IF(NOT(ISBLANK(_dimVendor[[#This Row],[Special Name]]))," ("&amp;_dimVendor[[#This Row],[Special Name]]&amp;")",)</f>
        <v>YeiJer - VN</v>
      </c>
      <c r="C45" s="9" t="s">
        <v>185</v>
      </c>
      <c r="D45" s="9" t="s">
        <v>48</v>
      </c>
      <c r="E45" s="9" t="s">
        <v>180</v>
      </c>
      <c r="F45" s="9" t="s">
        <v>181</v>
      </c>
      <c r="G45" s="9">
        <v>26</v>
      </c>
      <c r="H45" s="9">
        <v>50534</v>
      </c>
    </row>
    <row r="46" spans="1:9">
      <c r="A46" s="9" t="s">
        <v>186</v>
      </c>
      <c r="B46" s="9" t="str">
        <f>_dimVendor[[#This Row],[Vendor Group]]&amp; " - "&amp;_dimVendor[[#This Row],[Location]]&amp;IF(NOT(ISBLANK(_dimVendor[[#This Row],[Special Name]]))," ("&amp;_dimVendor[[#This Row],[Special Name]]&amp;")",)</f>
        <v>Yixin - CN</v>
      </c>
      <c r="C46" s="9" t="s">
        <v>187</v>
      </c>
      <c r="D46" s="9" t="s">
        <v>38</v>
      </c>
      <c r="E46" s="9" t="s">
        <v>188</v>
      </c>
      <c r="F46" s="9" t="s">
        <v>189</v>
      </c>
      <c r="G46" s="9">
        <v>26</v>
      </c>
    </row>
    <row r="47" spans="1:9">
      <c r="A47" s="9" t="s">
        <v>190</v>
      </c>
      <c r="B47" s="9" t="str">
        <f>_dimVendor[[#This Row],[Vendor Group]]&amp; " - "&amp;_dimVendor[[#This Row],[Location]]&amp;IF(NOT(ISBLANK(_dimVendor[[#This Row],[Special Name]]))," ("&amp;_dimVendor[[#This Row],[Special Name]]&amp;")",)</f>
        <v>Yixin - ID</v>
      </c>
      <c r="C47" s="9" t="s">
        <v>191</v>
      </c>
      <c r="D47" s="9" t="s">
        <v>43</v>
      </c>
      <c r="E47" s="9" t="s">
        <v>188</v>
      </c>
      <c r="F47" s="9" t="s">
        <v>189</v>
      </c>
      <c r="G47" s="9">
        <v>26</v>
      </c>
    </row>
    <row r="48" spans="1:9">
      <c r="A48" s="9" t="s">
        <v>192</v>
      </c>
      <c r="B48" s="9" t="str">
        <f>_dimVendor[[#This Row],[Vendor Group]]&amp; " - "&amp;_dimVendor[[#This Row],[Location]]&amp;IF(NOT(ISBLANK(_dimVendor[[#This Row],[Special Name]]))," ("&amp;_dimVendor[[#This Row],[Special Name]]&amp;")",)</f>
        <v>YiYing - CN</v>
      </c>
      <c r="C48" s="9" t="s">
        <v>193</v>
      </c>
      <c r="D48" s="9" t="s">
        <v>38</v>
      </c>
      <c r="E48" s="9" t="s">
        <v>194</v>
      </c>
      <c r="F48" s="9" t="s">
        <v>195</v>
      </c>
      <c r="G48" s="9">
        <v>26</v>
      </c>
      <c r="H48" s="9">
        <v>50624</v>
      </c>
    </row>
    <row r="49" spans="1:8">
      <c r="A49" s="9" t="s">
        <v>196</v>
      </c>
      <c r="B49" s="9" t="str">
        <f>_dimVendor[[#This Row],[Vendor Group]]&amp; " - "&amp;_dimVendor[[#This Row],[Location]]&amp;IF(NOT(ISBLANK(_dimVendor[[#This Row],[Special Name]]))," ("&amp;_dimVendor[[#This Row],[Special Name]]&amp;")",)</f>
        <v>YiYing - VN</v>
      </c>
      <c r="C49" s="9" t="s">
        <v>197</v>
      </c>
      <c r="D49" s="9" t="s">
        <v>48</v>
      </c>
      <c r="E49" s="9" t="s">
        <v>194</v>
      </c>
      <c r="F49" s="9" t="s">
        <v>195</v>
      </c>
      <c r="G49" s="9">
        <v>26</v>
      </c>
      <c r="H49" s="9">
        <v>50626</v>
      </c>
    </row>
    <row r="50" spans="1:8">
      <c r="A50" s="9" t="s">
        <v>198</v>
      </c>
      <c r="B50" s="9" t="str">
        <f>_dimVendor[[#This Row],[Vendor Group]]&amp; " - "&amp;_dimVendor[[#This Row],[Location]]&amp;IF(NOT(ISBLANK(_dimVendor[[#This Row],[Special Name]]))," ("&amp;_dimVendor[[#This Row],[Special Name]]&amp;")",)</f>
        <v>YiZhu - VN</v>
      </c>
      <c r="C50" s="9" t="s">
        <v>199</v>
      </c>
      <c r="D50" s="9" t="s">
        <v>48</v>
      </c>
      <c r="E50" s="9" t="s">
        <v>200</v>
      </c>
      <c r="F50" s="9" t="s">
        <v>201</v>
      </c>
      <c r="G50" s="9">
        <v>26</v>
      </c>
      <c r="H50" s="9">
        <v>50627</v>
      </c>
    </row>
    <row r="51" spans="1:8">
      <c r="A51" s="9" t="s">
        <v>202</v>
      </c>
      <c r="B51" s="9" t="str">
        <f>_dimVendor[[#This Row],[Vendor Group]]&amp; " - "&amp;_dimVendor[[#This Row],[Location]]&amp;IF(NOT(ISBLANK(_dimVendor[[#This Row],[Special Name]]))," ("&amp;_dimVendor[[#This Row],[Special Name]]&amp;")",)</f>
        <v>YoungOne - BD</v>
      </c>
      <c r="C51" s="9" t="s">
        <v>203</v>
      </c>
      <c r="D51" s="9" t="s">
        <v>53</v>
      </c>
      <c r="E51" s="9" t="s">
        <v>204</v>
      </c>
      <c r="F51" s="9" t="s">
        <v>205</v>
      </c>
      <c r="G51" s="9">
        <v>26</v>
      </c>
    </row>
    <row r="52" spans="1:8">
      <c r="A52" s="9" t="s">
        <v>206</v>
      </c>
      <c r="B52" s="9" t="str">
        <f>_dimVendor[[#This Row],[Vendor Group]]&amp; " - "&amp;_dimVendor[[#This Row],[Location]]&amp;IF(NOT(ISBLANK(_dimVendor[[#This Row],[Special Name]]))," ("&amp;_dimVendor[[#This Row],[Special Name]]&amp;")",)</f>
        <v>YueSheng - VN</v>
      </c>
      <c r="C52" s="9" t="s">
        <v>207</v>
      </c>
      <c r="D52" s="9" t="s">
        <v>48</v>
      </c>
      <c r="E52" s="30" t="s">
        <v>208</v>
      </c>
      <c r="F52" s="9" t="s">
        <v>209</v>
      </c>
      <c r="G52" s="9">
        <v>26</v>
      </c>
    </row>
    <row r="53" spans="1:8">
      <c r="A53" s="9" t="s">
        <v>210</v>
      </c>
      <c r="B53" s="9" t="str">
        <f>_dimVendor[[#This Row],[Vendor Group]]&amp; " - "&amp;_dimVendor[[#This Row],[Location]]&amp;IF(NOT(ISBLANK(_dimVendor[[#This Row],[Special Name]]))," ("&amp;_dimVendor[[#This Row],[Special Name]]&amp;")",)</f>
        <v>ZengWei - CN</v>
      </c>
      <c r="C53" s="9" t="s">
        <v>211</v>
      </c>
      <c r="D53" s="9" t="s">
        <v>38</v>
      </c>
      <c r="E53" s="9" t="s">
        <v>212</v>
      </c>
      <c r="F53" s="9" t="s">
        <v>213</v>
      </c>
      <c r="G53" s="9">
        <v>26</v>
      </c>
      <c r="H53" s="9">
        <v>50628</v>
      </c>
    </row>
    <row r="54" spans="1:8">
      <c r="A54" s="9" t="s">
        <v>214</v>
      </c>
      <c r="B54" s="9" t="str">
        <f>_dimVendor[[#This Row],[Vendor Group]]&amp; " - "&amp;_dimVendor[[#This Row],[Location]]&amp;IF(NOT(ISBLANK(_dimVendor[[#This Row],[Special Name]]))," ("&amp;_dimVendor[[#This Row],[Special Name]]&amp;")",)</f>
        <v>ZengWei - VN</v>
      </c>
      <c r="C54" s="9" t="s">
        <v>215</v>
      </c>
      <c r="D54" s="9" t="s">
        <v>48</v>
      </c>
      <c r="E54" s="9" t="s">
        <v>212</v>
      </c>
      <c r="F54" s="9" t="s">
        <v>213</v>
      </c>
      <c r="G54" s="9">
        <v>26</v>
      </c>
      <c r="H54" s="9">
        <v>50606</v>
      </c>
    </row>
    <row r="55" spans="1:8">
      <c r="A55" s="9" t="s">
        <v>216</v>
      </c>
      <c r="B55" s="9" t="str">
        <f>_dimVendor[[#This Row],[Vendor Group]]&amp; " - "&amp;_dimVendor[[#This Row],[Location]]&amp;IF(NOT(ISBLANK(_dimVendor[[#This Row],[Special Name]]))," ("&amp;_dimVendor[[#This Row],[Special Name]]&amp;")",)</f>
        <v>ZhuRui - VN</v>
      </c>
      <c r="C55" s="9" t="s">
        <v>217</v>
      </c>
      <c r="D55" s="9" t="s">
        <v>48</v>
      </c>
      <c r="E55" s="9" t="s">
        <v>218</v>
      </c>
      <c r="F55" s="9" t="s">
        <v>219</v>
      </c>
      <c r="G55" s="9">
        <v>26</v>
      </c>
      <c r="H55" s="9">
        <v>50549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README</vt:lpstr>
      <vt:lpstr>MOLD_BASIC_INFO</vt:lpstr>
      <vt:lpstr>SOURCING_RULE</vt:lpstr>
      <vt:lpstr>MOLD_LIST_OS1</vt:lpstr>
      <vt:lpstr>MOLD_LIST_MS1</vt:lpstr>
      <vt:lpstr>MOLD_LIST_MS2</vt:lpstr>
      <vt:lpstr>MOLD_LIST_MS3</vt:lpstr>
      <vt:lpstr>Vendor &amp; Factory Master</vt:lpstr>
      <vt:lpstr>MOLD_LIST_MS1!_FactoryName</vt:lpstr>
      <vt:lpstr>MOLD_LIST_MS2!_FactoryName</vt:lpstr>
      <vt:lpstr>MOLD_LIST_MS3!_FactoryName</vt:lpstr>
      <vt:lpstr>_FactoryName</vt:lpstr>
      <vt:lpstr>MOLD_LIST_MS1!_VenShortName</vt:lpstr>
      <vt:lpstr>MOLD_LIST_MS2!_VenShortName</vt:lpstr>
      <vt:lpstr>MOLD_LIST_MS3!_VenShortName</vt:lpstr>
      <vt:lpstr>_VenShortName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Tai</dc:creator>
  <cp:lastModifiedBy>Le, Tai</cp:lastModifiedBy>
  <dcterms:created xsi:type="dcterms:W3CDTF">2026-04-07T09:18:26Z</dcterms:created>
  <dcterms:modified xsi:type="dcterms:W3CDTF">2026-05-07T05:09:22Z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72c556-13e8-4aa2-bb93-87d2746fe306_Enabled">
    <vt:lpwstr>true</vt:lpwstr>
  </property>
  <property fmtid="{D5CDD505-2E9C-101B-9397-08002B2CF9AE}" pid="3" name="MSIP_Label_6372c556-13e8-4aa2-bb93-87d2746fe306_SetDate">
    <vt:lpwstr>2026-04-07T09:50:25Z</vt:lpwstr>
  </property>
  <property fmtid="{D5CDD505-2E9C-101B-9397-08002B2CF9AE}" pid="4" name="MSIP_Label_6372c556-13e8-4aa2-bb93-87d2746fe306_Method">
    <vt:lpwstr>Standard</vt:lpwstr>
  </property>
  <property fmtid="{D5CDD505-2E9C-101B-9397-08002B2CF9AE}" pid="5" name="MSIP_Label_6372c556-13e8-4aa2-bb93-87d2746fe306_Name">
    <vt:lpwstr>6372c556-13e8-4aa2-bb93-87d2746fe306</vt:lpwstr>
  </property>
  <property fmtid="{D5CDD505-2E9C-101B-9397-08002B2CF9AE}" pid="6" name="MSIP_Label_6372c556-13e8-4aa2-bb93-87d2746fe306_SiteId">
    <vt:lpwstr>deace5d6-717b-4f79-ab12-6357206c0c36</vt:lpwstr>
  </property>
  <property fmtid="{D5CDD505-2E9C-101B-9397-08002B2CF9AE}" pid="7" name="MSIP_Label_6372c556-13e8-4aa2-bb93-87d2746fe306_ActionId">
    <vt:lpwstr>a4b8ab6d-ee1c-4e2a-940a-d46aabc5b725</vt:lpwstr>
  </property>
  <property fmtid="{D5CDD505-2E9C-101B-9397-08002B2CF9AE}" pid="8" name="MSIP_Label_6372c556-13e8-4aa2-bb93-87d2746fe306_ContentBits">
    <vt:lpwstr>0</vt:lpwstr>
  </property>
  <property fmtid="{D5CDD505-2E9C-101B-9397-08002B2CF9AE}" pid="9" name="MSIP_Label_6372c556-13e8-4aa2-bb93-87d2746fe306_Tag">
    <vt:lpwstr>10, 3, 0, 1</vt:lpwstr>
  </property>
</Properties>
</file>